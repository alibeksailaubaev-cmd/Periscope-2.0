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" sheetId="1" state="visible" r:id="rId1"/>
    <sheet name="Расчет по корпусам" sheetId="2" state="visible" r:id="rId2"/>
    <sheet name="Сводка по площадкам" sheetId="3" state="visible" r:id="rId3"/>
    <sheet name="Сценарии норм расхода" sheetId="4" state="visible" r:id="rId4"/>
  </sheets>
  <definedNames>
    <definedName name="_xlnm._FilterDatabase" localSheetId="1" hidden="1">'Расчет по корпусам'!$A$1:$M$123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sz val="10"/>
    </font>
    <font>
      <name val="Arial"/>
      <b val="1"/>
      <sz val="11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6F54"/>
      </patternFill>
    </fill>
    <fill>
      <patternFill patternType="solid">
        <fgColor rgb="00DCE9E3"/>
      </patternFill>
    </fill>
    <fill>
      <patternFill patternType="solid">
        <fgColor rgb="00F4F8F6"/>
      </patternFill>
    </fill>
  </fills>
  <borders count="2">
    <border>
      <left/>
      <right/>
      <top/>
      <bottom/>
      <diagonal/>
    </border>
    <border>
      <left style="thin">
        <color rgb="00B7C7C0"/>
      </left>
      <right style="thin">
        <color rgb="00B7C7C0"/>
      </right>
      <top style="thin">
        <color rgb="00B7C7C0"/>
      </top>
      <bottom style="thin">
        <color rgb="00B7C7C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5" fillId="2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3" fontId="5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6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4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4" customWidth="1" min="2" max="2"/>
    <col width="18" customWidth="1" min="3" max="3"/>
    <col width="70" customWidth="1" min="4" max="4"/>
  </cols>
  <sheetData>
    <row r="2">
      <c r="B2" s="1" t="inlineStr">
        <is>
          <t>РАСЧЕТ ПОТРЕБНОСТИ ДЕЗСРЕДСТВА «ФОСНИТАЦИД» ПО ПЛОЩАДИ КОРПУСОВ</t>
        </is>
      </c>
    </row>
    <row r="3">
      <c r="B3" s="2" t="inlineStr">
        <is>
          <t>Желтые ячейки — вводимые параметры. Меняете одну ячейку — весь файл пересчитывается.</t>
        </is>
      </c>
    </row>
    <row r="5" ht="34" customHeight="1">
      <c r="B5" s="3" t="inlineStr">
        <is>
          <t>Наименование дезсредства</t>
        </is>
      </c>
      <c r="C5" s="4" t="inlineStr">
        <is>
          <t>Фоснитацид</t>
        </is>
      </c>
      <c r="D5" s="5" t="inlineStr">
        <is>
          <t>По заданию заказчика.</t>
        </is>
      </c>
    </row>
    <row r="6" ht="34" customHeight="1">
      <c r="B6" s="3" t="inlineStr">
        <is>
          <t>Концентрация рабочего раствора, %</t>
        </is>
      </c>
      <c r="C6" s="6" t="n">
        <v>10</v>
      </c>
      <c r="D6" s="5" t="inlineStr">
        <is>
          <t>10-процентный рабочий раствор (по заданию).</t>
        </is>
      </c>
    </row>
    <row r="7" ht="34" customHeight="1">
      <c r="B7" s="3" t="inlineStr">
        <is>
          <t>Норма расхода рабочего раствора, л/м²</t>
        </is>
      </c>
      <c r="C7" s="7" t="n">
        <v>0.5</v>
      </c>
      <c r="D7" s="5" t="inlineStr">
        <is>
          <t>ДОПУЩЕНИЕ. Принята типовая норма влажной дезинфекции гладких поверхностей — 0,5 л/м². Замените на норму из инструкции по применению Фоснитацида — весь файл пересчитается. Варианты норм см. на листе «Сценарии норм расхода».</t>
        </is>
      </c>
    </row>
    <row r="8" ht="34" customHeight="1">
      <c r="B8" s="3" t="inlineStr">
        <is>
          <t>Кратность обработки за 1 санразрыв</t>
        </is>
      </c>
      <c r="C8" s="8" t="n">
        <v>1</v>
      </c>
      <c r="D8" s="5" t="inlineStr">
        <is>
          <t>Периодичность — 1 раз согласно графику санразрыва.</t>
        </is>
      </c>
    </row>
    <row r="9" ht="34" customHeight="1">
      <c r="B9" s="3" t="inlineStr">
        <is>
          <t>Объем канистры, л</t>
        </is>
      </c>
      <c r="C9" s="6" t="n">
        <v>23</v>
      </c>
      <c r="D9" s="5" t="inlineStr">
        <is>
          <t>1 канистра = 23 л концентрата (по заданию).</t>
        </is>
      </c>
    </row>
    <row r="10" ht="34" customHeight="1">
      <c r="B10" s="3" t="inlineStr">
        <is>
          <t>Фактическая выдача на 1 корпус, канистр</t>
        </is>
      </c>
      <c r="C10" s="6" t="n">
        <v>1</v>
      </c>
      <c r="D10" s="5" t="inlineStr">
        <is>
          <t>Действующая практика: 1 канистра на корпус независимо от его площади.</t>
        </is>
      </c>
    </row>
    <row r="12">
      <c r="B12" s="9" t="inlineStr">
        <is>
          <t>МЕТОДИКА РАСЧЕТА</t>
        </is>
      </c>
    </row>
    <row r="13" ht="16" customHeight="1">
      <c r="B13" s="10" t="inlineStr">
        <is>
          <t>1.  Рабочий раствор на корпус, л  =  Площадь корпуса, м²  ×  Норма расхода, л/м²  ×  Кратность</t>
        </is>
      </c>
    </row>
    <row r="14" ht="16" customHeight="1">
      <c r="B14" s="10" t="inlineStr">
        <is>
          <t>2.  Концентрат (Фоснитацид) на корпус, л  =  Рабочий раствор, л  ×  Концентрация, %  /  100</t>
        </is>
      </c>
    </row>
    <row r="15" ht="16" customHeight="1">
      <c r="B15" s="10" t="inlineStr">
        <is>
          <t>3.  Канистр на корпус, шт  =  ОКРВВЕРХ( Концентрат, л  /  Объем канистры, 23 л )</t>
        </is>
      </c>
    </row>
    <row r="16" ht="16" customHeight="1">
      <c r="B16" s="10" t="inlineStr">
        <is>
          <t>4.  Отклонение, л  =  Фактическая выдача, л  −  Расчетная потребность в концентрате, л</t>
        </is>
      </c>
    </row>
    <row r="18">
      <c r="B18" s="9" t="inlineStr">
        <is>
          <t>СОСТАВ ПЛОЩАДОК (сверено с ведомостью заказчика)</t>
        </is>
      </c>
    </row>
    <row r="19">
      <c r="B19" s="11" t="inlineStr">
        <is>
          <t>Площадка</t>
        </is>
      </c>
      <c r="C19" s="11" t="inlineStr">
        <is>
          <t>Бройлерные участки</t>
        </is>
      </c>
      <c r="D19" s="11" t="inlineStr">
        <is>
          <t>Кол-во корпусов</t>
        </is>
      </c>
    </row>
    <row r="20">
      <c r="B20" s="12" t="inlineStr">
        <is>
          <t>Г</t>
        </is>
      </c>
      <c r="C20" s="12" t="inlineStr">
        <is>
          <t>№3, №4</t>
        </is>
      </c>
      <c r="D20" s="13" t="n">
        <v>20</v>
      </c>
    </row>
    <row r="21">
      <c r="B21" s="12" t="inlineStr">
        <is>
          <t>Д</t>
        </is>
      </c>
      <c r="C21" s="12" t="inlineStr">
        <is>
          <t>№5, №6</t>
        </is>
      </c>
      <c r="D21" s="13" t="n">
        <v>16</v>
      </c>
    </row>
    <row r="22">
      <c r="B22" s="12" t="inlineStr">
        <is>
          <t>БП-14</t>
        </is>
      </c>
      <c r="C22" s="12" t="inlineStr">
        <is>
          <t>№14</t>
        </is>
      </c>
      <c r="D22" s="13" t="n">
        <v>12</v>
      </c>
    </row>
    <row r="23">
      <c r="B23" s="12" t="inlineStr">
        <is>
          <t>А</t>
        </is>
      </c>
      <c r="C23" s="12" t="inlineStr">
        <is>
          <t>№9</t>
        </is>
      </c>
      <c r="D23" s="13" t="n">
        <v>10</v>
      </c>
    </row>
    <row r="24">
      <c r="B24" s="12" t="inlineStr">
        <is>
          <t>Б</t>
        </is>
      </c>
      <c r="C24" s="12" t="inlineStr">
        <is>
          <t>№7</t>
        </is>
      </c>
      <c r="D24" s="13" t="n">
        <v>10</v>
      </c>
    </row>
    <row r="25">
      <c r="B25" s="12" t="inlineStr">
        <is>
          <t>Е</t>
        </is>
      </c>
      <c r="C25" s="12" t="inlineStr">
        <is>
          <t>№8</t>
        </is>
      </c>
      <c r="D25" s="13" t="n">
        <v>10</v>
      </c>
    </row>
    <row r="26">
      <c r="B26" s="12" t="inlineStr">
        <is>
          <t>Ж</t>
        </is>
      </c>
      <c r="C26" s="12" t="inlineStr">
        <is>
          <t>№10</t>
        </is>
      </c>
      <c r="D26" s="13" t="n">
        <v>5</v>
      </c>
    </row>
    <row r="27">
      <c r="B27" s="12" t="inlineStr">
        <is>
          <t>БП-13</t>
        </is>
      </c>
      <c r="C27" s="12" t="inlineStr">
        <is>
          <t>№13</t>
        </is>
      </c>
      <c r="D27" s="13" t="n">
        <v>12</v>
      </c>
    </row>
    <row r="28">
      <c r="B28" s="12" t="inlineStr">
        <is>
          <t>В</t>
        </is>
      </c>
      <c r="C28" s="12" t="inlineStr">
        <is>
          <t>№11</t>
        </is>
      </c>
      <c r="D28" s="13" t="n">
        <v>15</v>
      </c>
    </row>
    <row r="29">
      <c r="B29" s="12" t="inlineStr">
        <is>
          <t>БП-12</t>
        </is>
      </c>
      <c r="C29" s="12" t="inlineStr">
        <is>
          <t>№12</t>
        </is>
      </c>
      <c r="D29" s="13" t="n">
        <v>12</v>
      </c>
    </row>
    <row r="30">
      <c r="B30" s="14" t="inlineStr">
        <is>
          <t>ИТОГО</t>
        </is>
      </c>
      <c r="C30" s="15" t="inlineStr"/>
      <c r="D30" s="16">
        <f>SUM(D20:D29)</f>
        <v>122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0" customWidth="1" min="3" max="3"/>
    <col width="10" customWidth="1" min="4" max="4"/>
    <col width="11" customWidth="1" min="5" max="5"/>
    <col width="12" customWidth="1" min="6" max="6"/>
    <col width="13" customWidth="1" min="7" max="7"/>
    <col width="14" customWidth="1" min="8" max="8"/>
    <col width="12" customWidth="1" min="9" max="9"/>
    <col width="13" customWidth="1" min="10" max="10"/>
    <col width="13" customWidth="1" min="11" max="11"/>
    <col width="14" customWidth="1" min="12" max="12"/>
    <col width="15" customWidth="1" min="13" max="13"/>
  </cols>
  <sheetData>
    <row r="1" ht="50" customHeight="1">
      <c r="A1" s="11" t="inlineStr">
        <is>
          <t>Площадка</t>
        </is>
      </c>
      <c r="B1" s="11" t="inlineStr">
        <is>
          <t>Бройлерный участок</t>
        </is>
      </c>
      <c r="C1" s="11" t="inlineStr">
        <is>
          <t>№ корпуса</t>
        </is>
      </c>
      <c r="D1" s="11" t="inlineStr">
        <is>
          <t>Объем, м³</t>
        </is>
      </c>
      <c r="E1" s="11" t="inlineStr">
        <is>
          <t>Площадь, м²</t>
        </is>
      </c>
      <c r="F1" s="11" t="inlineStr">
        <is>
          <t>Норма расхода, л/м²</t>
        </is>
      </c>
      <c r="G1" s="11" t="inlineStr">
        <is>
          <t>Рабочий раствор, л</t>
        </is>
      </c>
      <c r="H1" s="11" t="inlineStr">
        <is>
          <t>Потребность концентрата, л</t>
        </is>
      </c>
      <c r="I1" s="11" t="inlineStr">
        <is>
          <t>Канистр расчетно, шт</t>
        </is>
      </c>
      <c r="J1" s="11" t="inlineStr">
        <is>
          <t>К выдаче, канистр (округл.)</t>
        </is>
      </c>
      <c r="K1" s="11" t="inlineStr">
        <is>
          <t>Факт. выдача сейчас, л</t>
        </is>
      </c>
      <c r="L1" s="11" t="inlineStr">
        <is>
          <t>Отклонение (факт − норма), л</t>
        </is>
      </c>
      <c r="M1" s="11" t="inlineStr">
        <is>
          <t>Норма, покрываемая 1 канистрой, л/м²</t>
        </is>
      </c>
    </row>
    <row r="2">
      <c r="A2" s="17" t="inlineStr">
        <is>
          <t>Г</t>
        </is>
      </c>
      <c r="B2" s="17" t="inlineStr">
        <is>
          <t>№3</t>
        </is>
      </c>
      <c r="C2" s="17" t="inlineStr">
        <is>
          <t>1-4</t>
        </is>
      </c>
      <c r="D2" s="18" t="n">
        <v>4410</v>
      </c>
      <c r="E2" s="19" t="n">
        <v>1458.72</v>
      </c>
      <c r="F2" s="20">
        <f>'Параметры'!$C$7</f>
        <v>0.5</v>
      </c>
      <c r="G2" s="21">
        <f>E2*F2*'Параметры'!$C$8</f>
        <v>729.36</v>
      </c>
      <c r="H2" s="21">
        <f>G2*'Параметры'!$C$6/100</f>
        <v>72.936</v>
      </c>
      <c r="I2" s="19">
        <f>H2/'Параметры'!$C$9</f>
        <v>3.171130434782609</v>
      </c>
      <c r="J2" s="18">
        <f>ROUNDUP(H2/'Параметры'!$C$9,0)</f>
        <v>4</v>
      </c>
      <c r="K2" s="21">
        <f>'Параметры'!$C$10*'Параметры'!$C$9</f>
        <v>23</v>
      </c>
      <c r="L2" s="21">
        <f>K2-H2</f>
        <v>-49.93600000000001</v>
      </c>
      <c r="M2" s="20">
        <f>'Параметры'!$C$10*'Параметры'!$C$9*100/'Параметры'!$C$6/E2/'Параметры'!$C$8</f>
        <v>0.15767247998245038</v>
      </c>
    </row>
    <row r="3">
      <c r="A3" s="22" t="inlineStr">
        <is>
          <t>Г</t>
        </is>
      </c>
      <c r="B3" s="22" t="inlineStr">
        <is>
          <t>№3</t>
        </is>
      </c>
      <c r="C3" s="22" t="inlineStr">
        <is>
          <t>1-3</t>
        </is>
      </c>
      <c r="D3" s="13" t="n">
        <v>4410</v>
      </c>
      <c r="E3" s="23" t="n">
        <v>1458.72</v>
      </c>
      <c r="F3" s="24">
        <f>'Параметры'!$C$7</f>
        <v>0.5</v>
      </c>
      <c r="G3" s="25">
        <f>E3*F3*'Параметры'!$C$8</f>
        <v>729.36</v>
      </c>
      <c r="H3" s="25">
        <f>G3*'Параметры'!$C$6/100</f>
        <v>72.936</v>
      </c>
      <c r="I3" s="23">
        <f>H3/'Параметры'!$C$9</f>
        <v>3.171130434782609</v>
      </c>
      <c r="J3" s="13">
        <f>ROUNDUP(H3/'Параметры'!$C$9,0)</f>
        <v>4</v>
      </c>
      <c r="K3" s="25">
        <f>'Параметры'!$C$10*'Параметры'!$C$9</f>
        <v>23</v>
      </c>
      <c r="L3" s="25">
        <f>K3-H3</f>
        <v>-49.93600000000001</v>
      </c>
      <c r="M3" s="24">
        <f>'Параметры'!$C$10*'Параметры'!$C$9*100/'Параметры'!$C$6/E3/'Параметры'!$C$8</f>
        <v>0.15767247998245038</v>
      </c>
    </row>
    <row r="4">
      <c r="A4" s="17" t="inlineStr">
        <is>
          <t>Г</t>
        </is>
      </c>
      <c r="B4" s="17" t="inlineStr">
        <is>
          <t>№3</t>
        </is>
      </c>
      <c r="C4" s="17" t="inlineStr">
        <is>
          <t>1-2</t>
        </is>
      </c>
      <c r="D4" s="18" t="n">
        <v>4410</v>
      </c>
      <c r="E4" s="19" t="n">
        <v>1458.72</v>
      </c>
      <c r="F4" s="20">
        <f>'Параметры'!$C$7</f>
        <v>0.5</v>
      </c>
      <c r="G4" s="21">
        <f>E4*F4*'Параметры'!$C$8</f>
        <v>729.36</v>
      </c>
      <c r="H4" s="21">
        <f>G4*'Параметры'!$C$6/100</f>
        <v>72.936</v>
      </c>
      <c r="I4" s="19">
        <f>H4/'Параметры'!$C$9</f>
        <v>3.171130434782609</v>
      </c>
      <c r="J4" s="18">
        <f>ROUNDUP(H4/'Параметры'!$C$9,0)</f>
        <v>4</v>
      </c>
      <c r="K4" s="21">
        <f>'Параметры'!$C$10*'Параметры'!$C$9</f>
        <v>23</v>
      </c>
      <c r="L4" s="21">
        <f>K4-H4</f>
        <v>-49.93600000000001</v>
      </c>
      <c r="M4" s="20">
        <f>'Параметры'!$C$10*'Параметры'!$C$9*100/'Параметры'!$C$6/E4/'Параметры'!$C$8</f>
        <v>0.15767247998245038</v>
      </c>
    </row>
    <row r="5">
      <c r="A5" s="22" t="inlineStr">
        <is>
          <t>Г</t>
        </is>
      </c>
      <c r="B5" s="22" t="inlineStr">
        <is>
          <t>№3</t>
        </is>
      </c>
      <c r="C5" s="22" t="inlineStr">
        <is>
          <t>1-1</t>
        </is>
      </c>
      <c r="D5" s="13" t="n">
        <v>4485</v>
      </c>
      <c r="E5" s="23" t="n">
        <v>1483.54</v>
      </c>
      <c r="F5" s="24">
        <f>'Параметры'!$C$7</f>
        <v>0.5</v>
      </c>
      <c r="G5" s="25">
        <f>E5*F5*'Параметры'!$C$8</f>
        <v>741.77</v>
      </c>
      <c r="H5" s="25">
        <f>G5*'Параметры'!$C$6/100</f>
        <v>74.17699999999999</v>
      </c>
      <c r="I5" s="23">
        <f>H5/'Параметры'!$C$9</f>
        <v>3.225086956521739</v>
      </c>
      <c r="J5" s="13">
        <f>ROUNDUP(H5/'Параметры'!$C$9,0)</f>
        <v>4</v>
      </c>
      <c r="K5" s="25">
        <f>'Параметры'!$C$10*'Параметры'!$C$9</f>
        <v>23</v>
      </c>
      <c r="L5" s="25">
        <f>K5-H5</f>
        <v>-51.17699999999999</v>
      </c>
      <c r="M5" s="24">
        <f>'Параметры'!$C$10*'Параметры'!$C$9*100/'Параметры'!$C$6/E5/'Параметры'!$C$8</f>
        <v>0.15503457945185165</v>
      </c>
    </row>
    <row r="6">
      <c r="A6" s="17" t="inlineStr">
        <is>
          <t>Г</t>
        </is>
      </c>
      <c r="B6" s="17" t="inlineStr">
        <is>
          <t>№3</t>
        </is>
      </c>
      <c r="C6" s="17" t="inlineStr">
        <is>
          <t>2-4</t>
        </is>
      </c>
      <c r="D6" s="18" t="n">
        <v>4401</v>
      </c>
      <c r="E6" s="19" t="n">
        <v>1486.31</v>
      </c>
      <c r="F6" s="20">
        <f>'Параметры'!$C$7</f>
        <v>0.5</v>
      </c>
      <c r="G6" s="21">
        <f>E6*F6*'Параметры'!$C$8</f>
        <v>743.155</v>
      </c>
      <c r="H6" s="21">
        <f>G6*'Параметры'!$C$6/100</f>
        <v>74.31549999999999</v>
      </c>
      <c r="I6" s="19">
        <f>H6/'Параметры'!$C$9</f>
        <v>3.2311086956521735</v>
      </c>
      <c r="J6" s="18">
        <f>ROUNDUP(H6/'Параметры'!$C$9,0)</f>
        <v>4</v>
      </c>
      <c r="K6" s="21">
        <f>'Параметры'!$C$10*'Параметры'!$C$9</f>
        <v>23</v>
      </c>
      <c r="L6" s="21">
        <f>K6-H6</f>
        <v>-51.315499999999986</v>
      </c>
      <c r="M6" s="20">
        <f>'Параметры'!$C$10*'Параметры'!$C$9*100/'Параметры'!$C$6/E6/'Параметры'!$C$8</f>
        <v>0.15474564525570036</v>
      </c>
    </row>
    <row r="7">
      <c r="A7" s="22" t="inlineStr">
        <is>
          <t>Г</t>
        </is>
      </c>
      <c r="B7" s="22" t="inlineStr">
        <is>
          <t>№3</t>
        </is>
      </c>
      <c r="C7" s="22" t="inlineStr">
        <is>
          <t>2-3</t>
        </is>
      </c>
      <c r="D7" s="13" t="n">
        <v>4401</v>
      </c>
      <c r="E7" s="23" t="n">
        <v>1486.31</v>
      </c>
      <c r="F7" s="24">
        <f>'Параметры'!$C$7</f>
        <v>0.5</v>
      </c>
      <c r="G7" s="25">
        <f>E7*F7*'Параметры'!$C$8</f>
        <v>743.155</v>
      </c>
      <c r="H7" s="25">
        <f>G7*'Параметры'!$C$6/100</f>
        <v>74.31549999999999</v>
      </c>
      <c r="I7" s="23">
        <f>H7/'Параметры'!$C$9</f>
        <v>3.2311086956521735</v>
      </c>
      <c r="J7" s="13">
        <f>ROUNDUP(H7/'Параметры'!$C$9,0)</f>
        <v>4</v>
      </c>
      <c r="K7" s="25">
        <f>'Параметры'!$C$10*'Параметры'!$C$9</f>
        <v>23</v>
      </c>
      <c r="L7" s="25">
        <f>K7-H7</f>
        <v>-51.315499999999986</v>
      </c>
      <c r="M7" s="24">
        <f>'Параметры'!$C$10*'Параметры'!$C$9*100/'Параметры'!$C$6/E7/'Параметры'!$C$8</f>
        <v>0.15474564525570036</v>
      </c>
    </row>
    <row r="8">
      <c r="A8" s="17" t="inlineStr">
        <is>
          <t>Г</t>
        </is>
      </c>
      <c r="B8" s="17" t="inlineStr">
        <is>
          <t>№3</t>
        </is>
      </c>
      <c r="C8" s="17" t="inlineStr">
        <is>
          <t>2-2</t>
        </is>
      </c>
      <c r="D8" s="18" t="n">
        <v>4401</v>
      </c>
      <c r="E8" s="19" t="n">
        <v>1486.31</v>
      </c>
      <c r="F8" s="20">
        <f>'Параметры'!$C$7</f>
        <v>0.5</v>
      </c>
      <c r="G8" s="21">
        <f>E8*F8*'Параметры'!$C$8</f>
        <v>743.155</v>
      </c>
      <c r="H8" s="21">
        <f>G8*'Параметры'!$C$6/100</f>
        <v>74.31549999999999</v>
      </c>
      <c r="I8" s="19">
        <f>H8/'Параметры'!$C$9</f>
        <v>3.2311086956521735</v>
      </c>
      <c r="J8" s="18">
        <f>ROUNDUP(H8/'Параметры'!$C$9,0)</f>
        <v>4</v>
      </c>
      <c r="K8" s="21">
        <f>'Параметры'!$C$10*'Параметры'!$C$9</f>
        <v>23</v>
      </c>
      <c r="L8" s="21">
        <f>K8-H8</f>
        <v>-51.315499999999986</v>
      </c>
      <c r="M8" s="20">
        <f>'Параметры'!$C$10*'Параметры'!$C$9*100/'Параметры'!$C$6/E8/'Параметры'!$C$8</f>
        <v>0.15474564525570036</v>
      </c>
    </row>
    <row r="9">
      <c r="A9" s="22" t="inlineStr">
        <is>
          <t>Г</t>
        </is>
      </c>
      <c r="B9" s="22" t="inlineStr">
        <is>
          <t>№3</t>
        </is>
      </c>
      <c r="C9" s="22" t="inlineStr">
        <is>
          <t>2-1</t>
        </is>
      </c>
      <c r="D9" s="13" t="n">
        <v>4473</v>
      </c>
      <c r="E9" s="23" t="n">
        <v>1483.54</v>
      </c>
      <c r="F9" s="24">
        <f>'Параметры'!$C$7</f>
        <v>0.5</v>
      </c>
      <c r="G9" s="25">
        <f>E9*F9*'Параметры'!$C$8</f>
        <v>741.77</v>
      </c>
      <c r="H9" s="25">
        <f>G9*'Параметры'!$C$6/100</f>
        <v>74.17699999999999</v>
      </c>
      <c r="I9" s="23">
        <f>H9/'Параметры'!$C$9</f>
        <v>3.225086956521739</v>
      </c>
      <c r="J9" s="13">
        <f>ROUNDUP(H9/'Параметры'!$C$9,0)</f>
        <v>4</v>
      </c>
      <c r="K9" s="25">
        <f>'Параметры'!$C$10*'Параметры'!$C$9</f>
        <v>23</v>
      </c>
      <c r="L9" s="25">
        <f>K9-H9</f>
        <v>-51.17699999999999</v>
      </c>
      <c r="M9" s="24">
        <f>'Параметры'!$C$10*'Параметры'!$C$9*100/'Параметры'!$C$6/E9/'Параметры'!$C$8</f>
        <v>0.15503457945185165</v>
      </c>
    </row>
    <row r="10">
      <c r="A10" s="17" t="inlineStr">
        <is>
          <t>Г</t>
        </is>
      </c>
      <c r="B10" s="17" t="inlineStr">
        <is>
          <t>№3</t>
        </is>
      </c>
      <c r="C10" s="17" t="inlineStr">
        <is>
          <t>3-4</t>
        </is>
      </c>
      <c r="D10" s="18" t="n">
        <v>4488</v>
      </c>
      <c r="E10" s="19" t="n">
        <v>1488.26</v>
      </c>
      <c r="F10" s="20">
        <f>'Параметры'!$C$7</f>
        <v>0.5</v>
      </c>
      <c r="G10" s="21">
        <f>E10*F10*'Параметры'!$C$8</f>
        <v>744.13</v>
      </c>
      <c r="H10" s="21">
        <f>G10*'Параметры'!$C$6/100</f>
        <v>74.413</v>
      </c>
      <c r="I10" s="19">
        <f>H10/'Параметры'!$C$9</f>
        <v>3.2353478260869566</v>
      </c>
      <c r="J10" s="18">
        <f>ROUNDUP(H10/'Параметры'!$C$9,0)</f>
        <v>4</v>
      </c>
      <c r="K10" s="21">
        <f>'Параметры'!$C$10*'Параметры'!$C$9</f>
        <v>23</v>
      </c>
      <c r="L10" s="21">
        <f>K10-H10</f>
        <v>-51.413</v>
      </c>
      <c r="M10" s="20">
        <f>'Параметры'!$C$10*'Параметры'!$C$9*100/'Параметры'!$C$6/E10/'Параметры'!$C$8</f>
        <v>0.15454288901132868</v>
      </c>
    </row>
    <row r="11">
      <c r="A11" s="22" t="inlineStr">
        <is>
          <t>Г</t>
        </is>
      </c>
      <c r="B11" s="22" t="inlineStr">
        <is>
          <t>№3</t>
        </is>
      </c>
      <c r="C11" s="22" t="inlineStr">
        <is>
          <t>3-3</t>
        </is>
      </c>
      <c r="D11" s="13" t="n">
        <v>4488</v>
      </c>
      <c r="E11" s="23" t="n">
        <v>1488.26</v>
      </c>
      <c r="F11" s="24">
        <f>'Параметры'!$C$7</f>
        <v>0.5</v>
      </c>
      <c r="G11" s="25">
        <f>E11*F11*'Параметры'!$C$8</f>
        <v>744.13</v>
      </c>
      <c r="H11" s="25">
        <f>G11*'Параметры'!$C$6/100</f>
        <v>74.413</v>
      </c>
      <c r="I11" s="23">
        <f>H11/'Параметры'!$C$9</f>
        <v>3.2353478260869566</v>
      </c>
      <c r="J11" s="13">
        <f>ROUNDUP(H11/'Параметры'!$C$9,0)</f>
        <v>4</v>
      </c>
      <c r="K11" s="25">
        <f>'Параметры'!$C$10*'Параметры'!$C$9</f>
        <v>23</v>
      </c>
      <c r="L11" s="25">
        <f>K11-H11</f>
        <v>-51.413</v>
      </c>
      <c r="M11" s="24">
        <f>'Параметры'!$C$10*'Параметры'!$C$9*100/'Параметры'!$C$6/E11/'Параметры'!$C$8</f>
        <v>0.15454288901132868</v>
      </c>
    </row>
    <row r="12">
      <c r="A12" s="17" t="inlineStr">
        <is>
          <t>Г</t>
        </is>
      </c>
      <c r="B12" s="17" t="inlineStr">
        <is>
          <t>№3</t>
        </is>
      </c>
      <c r="C12" s="17" t="inlineStr">
        <is>
          <t>3-2</t>
        </is>
      </c>
      <c r="D12" s="18" t="n">
        <v>4488</v>
      </c>
      <c r="E12" s="19" t="n">
        <v>1488.26</v>
      </c>
      <c r="F12" s="20">
        <f>'Параметры'!$C$7</f>
        <v>0.5</v>
      </c>
      <c r="G12" s="21">
        <f>E12*F12*'Параметры'!$C$8</f>
        <v>744.13</v>
      </c>
      <c r="H12" s="21">
        <f>G12*'Параметры'!$C$6/100</f>
        <v>74.413</v>
      </c>
      <c r="I12" s="19">
        <f>H12/'Параметры'!$C$9</f>
        <v>3.2353478260869566</v>
      </c>
      <c r="J12" s="18">
        <f>ROUNDUP(H12/'Параметры'!$C$9,0)</f>
        <v>4</v>
      </c>
      <c r="K12" s="21">
        <f>'Параметры'!$C$10*'Параметры'!$C$9</f>
        <v>23</v>
      </c>
      <c r="L12" s="21">
        <f>K12-H12</f>
        <v>-51.413</v>
      </c>
      <c r="M12" s="20">
        <f>'Параметры'!$C$10*'Параметры'!$C$9*100/'Параметры'!$C$6/E12/'Параметры'!$C$8</f>
        <v>0.15454288901132868</v>
      </c>
    </row>
    <row r="13">
      <c r="A13" s="22" t="inlineStr">
        <is>
          <t>Г</t>
        </is>
      </c>
      <c r="B13" s="22" t="inlineStr">
        <is>
          <t>№3</t>
        </is>
      </c>
      <c r="C13" s="22" t="inlineStr">
        <is>
          <t>3-1</t>
        </is>
      </c>
      <c r="D13" s="13" t="n">
        <v>4560</v>
      </c>
      <c r="E13" s="23" t="n">
        <v>1498.53</v>
      </c>
      <c r="F13" s="24">
        <f>'Параметры'!$C$7</f>
        <v>0.5</v>
      </c>
      <c r="G13" s="25">
        <f>E13*F13*'Параметры'!$C$8</f>
        <v>749.265</v>
      </c>
      <c r="H13" s="25">
        <f>G13*'Параметры'!$C$6/100</f>
        <v>74.92649999999999</v>
      </c>
      <c r="I13" s="23">
        <f>H13/'Параметры'!$C$9</f>
        <v>3.2576739130434778</v>
      </c>
      <c r="J13" s="13">
        <f>ROUNDUP(H13/'Параметры'!$C$9,0)</f>
        <v>4</v>
      </c>
      <c r="K13" s="25">
        <f>'Параметры'!$C$10*'Параметры'!$C$9</f>
        <v>23</v>
      </c>
      <c r="L13" s="25">
        <f>K13-H13</f>
        <v>-51.92649999999999</v>
      </c>
      <c r="M13" s="24">
        <f>'Параметры'!$C$10*'Параметры'!$C$9*100/'Параметры'!$C$6/E13/'Параметры'!$C$8</f>
        <v>0.15348374740579102</v>
      </c>
    </row>
    <row r="14">
      <c r="A14" s="17" t="inlineStr">
        <is>
          <t>Г</t>
        </is>
      </c>
      <c r="B14" s="17" t="inlineStr">
        <is>
          <t>№4</t>
        </is>
      </c>
      <c r="C14" s="17" t="inlineStr">
        <is>
          <t>4-4</t>
        </is>
      </c>
      <c r="D14" s="18" t="n">
        <v>4536</v>
      </c>
      <c r="E14" s="19" t="n">
        <v>1517.78</v>
      </c>
      <c r="F14" s="20">
        <f>'Параметры'!$C$7</f>
        <v>0.5</v>
      </c>
      <c r="G14" s="21">
        <f>E14*F14*'Параметры'!$C$8</f>
        <v>758.89</v>
      </c>
      <c r="H14" s="21">
        <f>G14*'Параметры'!$C$6/100</f>
        <v>75.889</v>
      </c>
      <c r="I14" s="19">
        <f>H14/'Параметры'!$C$9</f>
        <v>3.2995217391304346</v>
      </c>
      <c r="J14" s="18">
        <f>ROUNDUP(H14/'Параметры'!$C$9,0)</f>
        <v>4</v>
      </c>
      <c r="K14" s="21">
        <f>'Параметры'!$C$10*'Параметры'!$C$9</f>
        <v>23</v>
      </c>
      <c r="L14" s="21">
        <f>K14-H14</f>
        <v>-52.888999999999996</v>
      </c>
      <c r="M14" s="20">
        <f>'Параметры'!$C$10*'Параметры'!$C$9*100/'Параметры'!$C$6/E14/'Параметры'!$C$8</f>
        <v>0.15153711341564655</v>
      </c>
    </row>
    <row r="15">
      <c r="A15" s="22" t="inlineStr">
        <is>
          <t>Г</t>
        </is>
      </c>
      <c r="B15" s="22" t="inlineStr">
        <is>
          <t>№4</t>
        </is>
      </c>
      <c r="C15" s="22" t="inlineStr">
        <is>
          <t>4-3</t>
        </is>
      </c>
      <c r="D15" s="13" t="n">
        <v>4536</v>
      </c>
      <c r="E15" s="23" t="n">
        <v>1517.78</v>
      </c>
      <c r="F15" s="24">
        <f>'Параметры'!$C$7</f>
        <v>0.5</v>
      </c>
      <c r="G15" s="25">
        <f>E15*F15*'Параметры'!$C$8</f>
        <v>758.89</v>
      </c>
      <c r="H15" s="25">
        <f>G15*'Параметры'!$C$6/100</f>
        <v>75.889</v>
      </c>
      <c r="I15" s="23">
        <f>H15/'Параметры'!$C$9</f>
        <v>3.2995217391304346</v>
      </c>
      <c r="J15" s="13">
        <f>ROUNDUP(H15/'Параметры'!$C$9,0)</f>
        <v>4</v>
      </c>
      <c r="K15" s="25">
        <f>'Параметры'!$C$10*'Параметры'!$C$9</f>
        <v>23</v>
      </c>
      <c r="L15" s="25">
        <f>K15-H15</f>
        <v>-52.888999999999996</v>
      </c>
      <c r="M15" s="24">
        <f>'Параметры'!$C$10*'Параметры'!$C$9*100/'Параметры'!$C$6/E15/'Параметры'!$C$8</f>
        <v>0.15153711341564655</v>
      </c>
    </row>
    <row r="16">
      <c r="A16" s="17" t="inlineStr">
        <is>
          <t>Г</t>
        </is>
      </c>
      <c r="B16" s="17" t="inlineStr">
        <is>
          <t>№4</t>
        </is>
      </c>
      <c r="C16" s="17" t="inlineStr">
        <is>
          <t>4-2</t>
        </is>
      </c>
      <c r="D16" s="18" t="n">
        <v>4536</v>
      </c>
      <c r="E16" s="19" t="n">
        <v>1517.78</v>
      </c>
      <c r="F16" s="20">
        <f>'Параметры'!$C$7</f>
        <v>0.5</v>
      </c>
      <c r="G16" s="21">
        <f>E16*F16*'Параметры'!$C$8</f>
        <v>758.89</v>
      </c>
      <c r="H16" s="21">
        <f>G16*'Параметры'!$C$6/100</f>
        <v>75.889</v>
      </c>
      <c r="I16" s="19">
        <f>H16/'Параметры'!$C$9</f>
        <v>3.2995217391304346</v>
      </c>
      <c r="J16" s="18">
        <f>ROUNDUP(H16/'Параметры'!$C$9,0)</f>
        <v>4</v>
      </c>
      <c r="K16" s="21">
        <f>'Параметры'!$C$10*'Параметры'!$C$9</f>
        <v>23</v>
      </c>
      <c r="L16" s="21">
        <f>K16-H16</f>
        <v>-52.888999999999996</v>
      </c>
      <c r="M16" s="20">
        <f>'Параметры'!$C$10*'Параметры'!$C$9*100/'Параметры'!$C$6/E16/'Параметры'!$C$8</f>
        <v>0.15153711341564655</v>
      </c>
    </row>
    <row r="17">
      <c r="A17" s="22" t="inlineStr">
        <is>
          <t>Г</t>
        </is>
      </c>
      <c r="B17" s="22" t="inlineStr">
        <is>
          <t>№4</t>
        </is>
      </c>
      <c r="C17" s="22" t="inlineStr">
        <is>
          <t>4-1</t>
        </is>
      </c>
      <c r="D17" s="13" t="n">
        <v>4599</v>
      </c>
      <c r="E17" s="23" t="n">
        <v>1517.78</v>
      </c>
      <c r="F17" s="24">
        <f>'Параметры'!$C$7</f>
        <v>0.5</v>
      </c>
      <c r="G17" s="25">
        <f>E17*F17*'Параметры'!$C$8</f>
        <v>758.89</v>
      </c>
      <c r="H17" s="25">
        <f>G17*'Параметры'!$C$6/100</f>
        <v>75.889</v>
      </c>
      <c r="I17" s="23">
        <f>H17/'Параметры'!$C$9</f>
        <v>3.2995217391304346</v>
      </c>
      <c r="J17" s="13">
        <f>ROUNDUP(H17/'Параметры'!$C$9,0)</f>
        <v>4</v>
      </c>
      <c r="K17" s="25">
        <f>'Параметры'!$C$10*'Параметры'!$C$9</f>
        <v>23</v>
      </c>
      <c r="L17" s="25">
        <f>K17-H17</f>
        <v>-52.888999999999996</v>
      </c>
      <c r="M17" s="24">
        <f>'Параметры'!$C$10*'Параметры'!$C$9*100/'Параметры'!$C$6/E17/'Параметры'!$C$8</f>
        <v>0.15153711341564655</v>
      </c>
    </row>
    <row r="18">
      <c r="A18" s="17" t="inlineStr">
        <is>
          <t>Г</t>
        </is>
      </c>
      <c r="B18" s="17" t="inlineStr">
        <is>
          <t>№4</t>
        </is>
      </c>
      <c r="C18" s="17" t="inlineStr">
        <is>
          <t>5-4</t>
        </is>
      </c>
      <c r="D18" s="18" t="n">
        <v>4530</v>
      </c>
      <c r="E18" s="19" t="n">
        <v>1513.84</v>
      </c>
      <c r="F18" s="20">
        <f>'Параметры'!$C$7</f>
        <v>0.5</v>
      </c>
      <c r="G18" s="21">
        <f>E18*F18*'Параметры'!$C$8</f>
        <v>756.92</v>
      </c>
      <c r="H18" s="21">
        <f>G18*'Параметры'!$C$6/100</f>
        <v>75.692</v>
      </c>
      <c r="I18" s="19">
        <f>H18/'Параметры'!$C$9</f>
        <v>3.29095652173913</v>
      </c>
      <c r="J18" s="18">
        <f>ROUNDUP(H18/'Параметры'!$C$9,0)</f>
        <v>4</v>
      </c>
      <c r="K18" s="21">
        <f>'Параметры'!$C$10*'Параметры'!$C$9</f>
        <v>23</v>
      </c>
      <c r="L18" s="21">
        <f>K18-H18</f>
        <v>-52.69199999999999</v>
      </c>
      <c r="M18" s="20">
        <f>'Параметры'!$C$10*'Параметры'!$C$9*100/'Параметры'!$C$6/E18/'Параметры'!$C$8</f>
        <v>0.1519315119167151</v>
      </c>
    </row>
    <row r="19">
      <c r="A19" s="22" t="inlineStr">
        <is>
          <t>Г</t>
        </is>
      </c>
      <c r="B19" s="22" t="inlineStr">
        <is>
          <t>№4</t>
        </is>
      </c>
      <c r="C19" s="22" t="inlineStr">
        <is>
          <t>5-3</t>
        </is>
      </c>
      <c r="D19" s="13" t="n">
        <v>4530</v>
      </c>
      <c r="E19" s="23" t="n">
        <v>1513.84</v>
      </c>
      <c r="F19" s="24">
        <f>'Параметры'!$C$7</f>
        <v>0.5</v>
      </c>
      <c r="G19" s="25">
        <f>E19*F19*'Параметры'!$C$8</f>
        <v>756.92</v>
      </c>
      <c r="H19" s="25">
        <f>G19*'Параметры'!$C$6/100</f>
        <v>75.692</v>
      </c>
      <c r="I19" s="23">
        <f>H19/'Параметры'!$C$9</f>
        <v>3.29095652173913</v>
      </c>
      <c r="J19" s="13">
        <f>ROUNDUP(H19/'Параметры'!$C$9,0)</f>
        <v>4</v>
      </c>
      <c r="K19" s="25">
        <f>'Параметры'!$C$10*'Параметры'!$C$9</f>
        <v>23</v>
      </c>
      <c r="L19" s="25">
        <f>K19-H19</f>
        <v>-52.69199999999999</v>
      </c>
      <c r="M19" s="24">
        <f>'Параметры'!$C$10*'Параметры'!$C$9*100/'Параметры'!$C$6/E19/'Параметры'!$C$8</f>
        <v>0.1519315119167151</v>
      </c>
    </row>
    <row r="20">
      <c r="A20" s="17" t="inlineStr">
        <is>
          <t>Г</t>
        </is>
      </c>
      <c r="B20" s="17" t="inlineStr">
        <is>
          <t>№4</t>
        </is>
      </c>
      <c r="C20" s="17" t="inlineStr">
        <is>
          <t>5-2</t>
        </is>
      </c>
      <c r="D20" s="18" t="n">
        <v>4530</v>
      </c>
      <c r="E20" s="19" t="n">
        <v>1513.84</v>
      </c>
      <c r="F20" s="20">
        <f>'Параметры'!$C$7</f>
        <v>0.5</v>
      </c>
      <c r="G20" s="21">
        <f>E20*F20*'Параметры'!$C$8</f>
        <v>756.92</v>
      </c>
      <c r="H20" s="21">
        <f>G20*'Параметры'!$C$6/100</f>
        <v>75.692</v>
      </c>
      <c r="I20" s="19">
        <f>H20/'Параметры'!$C$9</f>
        <v>3.29095652173913</v>
      </c>
      <c r="J20" s="18">
        <f>ROUNDUP(H20/'Параметры'!$C$9,0)</f>
        <v>4</v>
      </c>
      <c r="K20" s="21">
        <f>'Параметры'!$C$10*'Параметры'!$C$9</f>
        <v>23</v>
      </c>
      <c r="L20" s="21">
        <f>K20-H20</f>
        <v>-52.69199999999999</v>
      </c>
      <c r="M20" s="20">
        <f>'Параметры'!$C$10*'Параметры'!$C$9*100/'Параметры'!$C$6/E20/'Параметры'!$C$8</f>
        <v>0.1519315119167151</v>
      </c>
    </row>
    <row r="21">
      <c r="A21" s="22" t="inlineStr">
        <is>
          <t>Г</t>
        </is>
      </c>
      <c r="B21" s="22" t="inlineStr">
        <is>
          <t>№4</t>
        </is>
      </c>
      <c r="C21" s="22" t="inlineStr">
        <is>
          <t>5-1</t>
        </is>
      </c>
      <c r="D21" s="13" t="n">
        <v>4593</v>
      </c>
      <c r="E21" s="23" t="n">
        <v>1513.84</v>
      </c>
      <c r="F21" s="24">
        <f>'Параметры'!$C$7</f>
        <v>0.5</v>
      </c>
      <c r="G21" s="25">
        <f>E21*F21*'Параметры'!$C$8</f>
        <v>756.92</v>
      </c>
      <c r="H21" s="25">
        <f>G21*'Параметры'!$C$6/100</f>
        <v>75.692</v>
      </c>
      <c r="I21" s="23">
        <f>H21/'Параметры'!$C$9</f>
        <v>3.29095652173913</v>
      </c>
      <c r="J21" s="13">
        <f>ROUNDUP(H21/'Параметры'!$C$9,0)</f>
        <v>4</v>
      </c>
      <c r="K21" s="25">
        <f>'Параметры'!$C$10*'Параметры'!$C$9</f>
        <v>23</v>
      </c>
      <c r="L21" s="25">
        <f>K21-H21</f>
        <v>-52.69199999999999</v>
      </c>
      <c r="M21" s="24">
        <f>'Параметры'!$C$10*'Параметры'!$C$9*100/'Параметры'!$C$6/E21/'Параметры'!$C$8</f>
        <v>0.1519315119167151</v>
      </c>
    </row>
    <row r="22">
      <c r="A22" s="17" t="inlineStr">
        <is>
          <t>Д</t>
        </is>
      </c>
      <c r="B22" s="17" t="inlineStr">
        <is>
          <t>№5</t>
        </is>
      </c>
      <c r="C22" s="17" t="inlineStr">
        <is>
          <t>1-4</t>
        </is>
      </c>
      <c r="D22" s="18" t="n">
        <v>4500</v>
      </c>
      <c r="E22" s="19" t="n">
        <v>1501.4</v>
      </c>
      <c r="F22" s="20">
        <f>'Параметры'!$C$7</f>
        <v>0.5</v>
      </c>
      <c r="G22" s="21">
        <f>E22*F22*'Параметры'!$C$8</f>
        <v>750.7</v>
      </c>
      <c r="H22" s="21">
        <f>G22*'Параметры'!$C$6/100</f>
        <v>75.07</v>
      </c>
      <c r="I22" s="19">
        <f>H22/'Параметры'!$C$9</f>
        <v>3.2639130434782606</v>
      </c>
      <c r="J22" s="18">
        <f>ROUNDUP(H22/'Параметры'!$C$9,0)</f>
        <v>4</v>
      </c>
      <c r="K22" s="21">
        <f>'Параметры'!$C$10*'Параметры'!$C$9</f>
        <v>23</v>
      </c>
      <c r="L22" s="21">
        <f>K22-H22</f>
        <v>-52.06999999999999</v>
      </c>
      <c r="M22" s="20">
        <f>'Параметры'!$C$10*'Параметры'!$C$9*100/'Параметры'!$C$6/E22/'Параметры'!$C$8</f>
        <v>0.15319035566804315</v>
      </c>
    </row>
    <row r="23">
      <c r="A23" s="22" t="inlineStr">
        <is>
          <t>Д</t>
        </is>
      </c>
      <c r="B23" s="22" t="inlineStr">
        <is>
          <t>№5</t>
        </is>
      </c>
      <c r="C23" s="22" t="inlineStr">
        <is>
          <t>1-3</t>
        </is>
      </c>
      <c r="D23" s="13" t="n">
        <v>4503</v>
      </c>
      <c r="E23" s="23" t="n">
        <v>1502.4</v>
      </c>
      <c r="F23" s="24">
        <f>'Параметры'!$C$7</f>
        <v>0.5</v>
      </c>
      <c r="G23" s="25">
        <f>E23*F23*'Параметры'!$C$8</f>
        <v>751.2</v>
      </c>
      <c r="H23" s="25">
        <f>G23*'Параметры'!$C$6/100</f>
        <v>75.12</v>
      </c>
      <c r="I23" s="23">
        <f>H23/'Параметры'!$C$9</f>
        <v>3.266086956521739</v>
      </c>
      <c r="J23" s="13">
        <f>ROUNDUP(H23/'Параметры'!$C$9,0)</f>
        <v>4</v>
      </c>
      <c r="K23" s="25">
        <f>'Параметры'!$C$10*'Параметры'!$C$9</f>
        <v>23</v>
      </c>
      <c r="L23" s="25">
        <f>K23-H23</f>
        <v>-52.120000000000005</v>
      </c>
      <c r="M23" s="24">
        <f>'Параметры'!$C$10*'Параметры'!$C$9*100/'Параметры'!$C$6/E23/'Параметры'!$C$8</f>
        <v>0.15308839190628326</v>
      </c>
    </row>
    <row r="24">
      <c r="A24" s="17" t="inlineStr">
        <is>
          <t>Д</t>
        </is>
      </c>
      <c r="B24" s="17" t="inlineStr">
        <is>
          <t>№5</t>
        </is>
      </c>
      <c r="C24" s="17" t="inlineStr">
        <is>
          <t>1-2</t>
        </is>
      </c>
      <c r="D24" s="18" t="n">
        <v>4497</v>
      </c>
      <c r="E24" s="19" t="n">
        <v>1499.7</v>
      </c>
      <c r="F24" s="20">
        <f>'Параметры'!$C$7</f>
        <v>0.5</v>
      </c>
      <c r="G24" s="21">
        <f>E24*F24*'Параметры'!$C$8</f>
        <v>749.85</v>
      </c>
      <c r="H24" s="21">
        <f>G24*'Параметры'!$C$6/100</f>
        <v>74.985</v>
      </c>
      <c r="I24" s="19">
        <f>H24/'Параметры'!$C$9</f>
        <v>3.260217391304348</v>
      </c>
      <c r="J24" s="18">
        <f>ROUNDUP(H24/'Параметры'!$C$9,0)</f>
        <v>4</v>
      </c>
      <c r="K24" s="21">
        <f>'Параметры'!$C$10*'Параметры'!$C$9</f>
        <v>23</v>
      </c>
      <c r="L24" s="21">
        <f>K24-H24</f>
        <v>-51.985</v>
      </c>
      <c r="M24" s="20">
        <f>'Параметры'!$C$10*'Параметры'!$C$9*100/'Параметры'!$C$6/E24/'Параметры'!$C$8</f>
        <v>0.15336400613456025</v>
      </c>
    </row>
    <row r="25">
      <c r="A25" s="22" t="inlineStr">
        <is>
          <t>Д</t>
        </is>
      </c>
      <c r="B25" s="22" t="inlineStr">
        <is>
          <t>№5</t>
        </is>
      </c>
      <c r="C25" s="22" t="inlineStr">
        <is>
          <t>1-1</t>
        </is>
      </c>
      <c r="D25" s="13" t="n">
        <v>4500</v>
      </c>
      <c r="E25" s="23" t="n">
        <v>1500.4</v>
      </c>
      <c r="F25" s="24">
        <f>'Параметры'!$C$7</f>
        <v>0.5</v>
      </c>
      <c r="G25" s="25">
        <f>E25*F25*'Параметры'!$C$8</f>
        <v>750.2</v>
      </c>
      <c r="H25" s="25">
        <f>G25*'Параметры'!$C$6/100</f>
        <v>75.02</v>
      </c>
      <c r="I25" s="23">
        <f>H25/'Параметры'!$C$9</f>
        <v>3.2617391304347825</v>
      </c>
      <c r="J25" s="13">
        <f>ROUNDUP(H25/'Параметры'!$C$9,0)</f>
        <v>4</v>
      </c>
      <c r="K25" s="25">
        <f>'Параметры'!$C$10*'Параметры'!$C$9</f>
        <v>23</v>
      </c>
      <c r="L25" s="25">
        <f>K25-H25</f>
        <v>-52.019999999999996</v>
      </c>
      <c r="M25" s="24">
        <f>'Параметры'!$C$10*'Параметры'!$C$9*100/'Параметры'!$C$6/E25/'Параметры'!$C$8</f>
        <v>0.15329245534524125</v>
      </c>
    </row>
    <row r="26">
      <c r="A26" s="17" t="inlineStr">
        <is>
          <t>Д</t>
        </is>
      </c>
      <c r="B26" s="17" t="inlineStr">
        <is>
          <t>№5</t>
        </is>
      </c>
      <c r="C26" s="17" t="inlineStr">
        <is>
          <t>2-4</t>
        </is>
      </c>
      <c r="D26" s="18" t="n">
        <v>4527</v>
      </c>
      <c r="E26" s="19" t="n">
        <v>1510.1</v>
      </c>
      <c r="F26" s="20">
        <f>'Параметры'!$C$7</f>
        <v>0.5</v>
      </c>
      <c r="G26" s="21">
        <f>E26*F26*'Параметры'!$C$8</f>
        <v>755.05</v>
      </c>
      <c r="H26" s="21">
        <f>G26*'Параметры'!$C$6/100</f>
        <v>75.505</v>
      </c>
      <c r="I26" s="19">
        <f>H26/'Параметры'!$C$9</f>
        <v>3.2828260869565216</v>
      </c>
      <c r="J26" s="18">
        <f>ROUNDUP(H26/'Параметры'!$C$9,0)</f>
        <v>4</v>
      </c>
      <c r="K26" s="21">
        <f>'Параметры'!$C$10*'Параметры'!$C$9</f>
        <v>23</v>
      </c>
      <c r="L26" s="21">
        <f>K26-H26</f>
        <v>-52.504999999999995</v>
      </c>
      <c r="M26" s="20">
        <f>'Параметры'!$C$10*'Параметры'!$C$9*100/'Параметры'!$C$6/E26/'Параметры'!$C$8</f>
        <v>0.15230779418581553</v>
      </c>
    </row>
    <row r="27">
      <c r="A27" s="22" t="inlineStr">
        <is>
          <t>Д</t>
        </is>
      </c>
      <c r="B27" s="22" t="inlineStr">
        <is>
          <t>№5</t>
        </is>
      </c>
      <c r="C27" s="22" t="inlineStr">
        <is>
          <t>2-3</t>
        </is>
      </c>
      <c r="D27" s="13" t="n">
        <v>4533</v>
      </c>
      <c r="E27" s="23" t="n">
        <v>1511.3</v>
      </c>
      <c r="F27" s="24">
        <f>'Параметры'!$C$7</f>
        <v>0.5</v>
      </c>
      <c r="G27" s="25">
        <f>E27*F27*'Параметры'!$C$8</f>
        <v>755.65</v>
      </c>
      <c r="H27" s="25">
        <f>G27*'Параметры'!$C$6/100</f>
        <v>75.565</v>
      </c>
      <c r="I27" s="23">
        <f>H27/'Параметры'!$C$9</f>
        <v>3.2854347826086956</v>
      </c>
      <c r="J27" s="13">
        <f>ROUNDUP(H27/'Параметры'!$C$9,0)</f>
        <v>4</v>
      </c>
      <c r="K27" s="25">
        <f>'Параметры'!$C$10*'Параметры'!$C$9</f>
        <v>23</v>
      </c>
      <c r="L27" s="25">
        <f>K27-H27</f>
        <v>-52.565</v>
      </c>
      <c r="M27" s="24">
        <f>'Параметры'!$C$10*'Параметры'!$C$9*100/'Параметры'!$C$6/E27/'Параметры'!$C$8</f>
        <v>0.15218685899556675</v>
      </c>
    </row>
    <row r="28">
      <c r="A28" s="17" t="inlineStr">
        <is>
          <t>Д</t>
        </is>
      </c>
      <c r="B28" s="17" t="inlineStr">
        <is>
          <t>№5</t>
        </is>
      </c>
      <c r="C28" s="17" t="inlineStr">
        <is>
          <t>2-2</t>
        </is>
      </c>
      <c r="D28" s="18" t="n">
        <v>4530</v>
      </c>
      <c r="E28" s="19" t="n">
        <v>1510.1</v>
      </c>
      <c r="F28" s="20">
        <f>'Параметры'!$C$7</f>
        <v>0.5</v>
      </c>
      <c r="G28" s="21">
        <f>E28*F28*'Параметры'!$C$8</f>
        <v>755.05</v>
      </c>
      <c r="H28" s="21">
        <f>G28*'Параметры'!$C$6/100</f>
        <v>75.505</v>
      </c>
      <c r="I28" s="19">
        <f>H28/'Параметры'!$C$9</f>
        <v>3.2828260869565216</v>
      </c>
      <c r="J28" s="18">
        <f>ROUNDUP(H28/'Параметры'!$C$9,0)</f>
        <v>4</v>
      </c>
      <c r="K28" s="21">
        <f>'Параметры'!$C$10*'Параметры'!$C$9</f>
        <v>23</v>
      </c>
      <c r="L28" s="21">
        <f>K28-H28</f>
        <v>-52.504999999999995</v>
      </c>
      <c r="M28" s="20">
        <f>'Параметры'!$C$10*'Параметры'!$C$9*100/'Параметры'!$C$6/E28/'Параметры'!$C$8</f>
        <v>0.15230779418581553</v>
      </c>
    </row>
    <row r="29">
      <c r="A29" s="22" t="inlineStr">
        <is>
          <t>Д</t>
        </is>
      </c>
      <c r="B29" s="22" t="inlineStr">
        <is>
          <t>№5</t>
        </is>
      </c>
      <c r="C29" s="22" t="inlineStr">
        <is>
          <t>2-1</t>
        </is>
      </c>
      <c r="D29" s="13" t="n">
        <v>4530</v>
      </c>
      <c r="E29" s="23" t="n">
        <v>1510.9</v>
      </c>
      <c r="F29" s="24">
        <f>'Параметры'!$C$7</f>
        <v>0.5</v>
      </c>
      <c r="G29" s="25">
        <f>E29*F29*'Параметры'!$C$8</f>
        <v>755.45</v>
      </c>
      <c r="H29" s="25">
        <f>G29*'Параметры'!$C$6/100</f>
        <v>75.545</v>
      </c>
      <c r="I29" s="23">
        <f>H29/'Параметры'!$C$9</f>
        <v>3.2845652173913042</v>
      </c>
      <c r="J29" s="13">
        <f>ROUNDUP(H29/'Параметры'!$C$9,0)</f>
        <v>4</v>
      </c>
      <c r="K29" s="25">
        <f>'Параметры'!$C$10*'Параметры'!$C$9</f>
        <v>23</v>
      </c>
      <c r="L29" s="25">
        <f>K29-H29</f>
        <v>-52.545</v>
      </c>
      <c r="M29" s="24">
        <f>'Параметры'!$C$10*'Параметры'!$C$9*100/'Параметры'!$C$6/E29/'Параметры'!$C$8</f>
        <v>0.15222714938116352</v>
      </c>
    </row>
    <row r="30">
      <c r="A30" s="17" t="inlineStr">
        <is>
          <t>Д</t>
        </is>
      </c>
      <c r="B30" s="17" t="inlineStr">
        <is>
          <t>№6</t>
        </is>
      </c>
      <c r="C30" s="17" t="inlineStr">
        <is>
          <t>3-4</t>
        </is>
      </c>
      <c r="D30" s="18" t="n">
        <v>4596</v>
      </c>
      <c r="E30" s="19" t="n">
        <v>1532.6</v>
      </c>
      <c r="F30" s="20">
        <f>'Параметры'!$C$7</f>
        <v>0.5</v>
      </c>
      <c r="G30" s="21">
        <f>E30*F30*'Параметры'!$C$8</f>
        <v>766.3</v>
      </c>
      <c r="H30" s="21">
        <f>G30*'Параметры'!$C$6/100</f>
        <v>76.63</v>
      </c>
      <c r="I30" s="19">
        <f>H30/'Параметры'!$C$9</f>
        <v>3.3317391304347823</v>
      </c>
      <c r="J30" s="18">
        <f>ROUNDUP(H30/'Параметры'!$C$9,0)</f>
        <v>4</v>
      </c>
      <c r="K30" s="21">
        <f>'Параметры'!$C$10*'Параметры'!$C$9</f>
        <v>23</v>
      </c>
      <c r="L30" s="21">
        <f>K30-H30</f>
        <v>-53.629999999999995</v>
      </c>
      <c r="M30" s="20">
        <f>'Параметры'!$C$10*'Параметры'!$C$9*100/'Параметры'!$C$6/E30/'Параметры'!$C$8</f>
        <v>0.1500717734568707</v>
      </c>
    </row>
    <row r="31">
      <c r="A31" s="22" t="inlineStr">
        <is>
          <t>Д</t>
        </is>
      </c>
      <c r="B31" s="22" t="inlineStr">
        <is>
          <t>№6</t>
        </is>
      </c>
      <c r="C31" s="22" t="inlineStr">
        <is>
          <t>3-3</t>
        </is>
      </c>
      <c r="D31" s="13" t="n">
        <v>4590</v>
      </c>
      <c r="E31" s="23" t="n">
        <v>1530.5</v>
      </c>
      <c r="F31" s="24">
        <f>'Параметры'!$C$7</f>
        <v>0.5</v>
      </c>
      <c r="G31" s="25">
        <f>E31*F31*'Параметры'!$C$8</f>
        <v>765.25</v>
      </c>
      <c r="H31" s="25">
        <f>G31*'Параметры'!$C$6/100</f>
        <v>76.525</v>
      </c>
      <c r="I31" s="23">
        <f>H31/'Параметры'!$C$9</f>
        <v>3.3271739130434783</v>
      </c>
      <c r="J31" s="13">
        <f>ROUNDUP(H31/'Параметры'!$C$9,0)</f>
        <v>4</v>
      </c>
      <c r="K31" s="25">
        <f>'Параметры'!$C$10*'Параметры'!$C$9</f>
        <v>23</v>
      </c>
      <c r="L31" s="25">
        <f>K31-H31</f>
        <v>-53.525000000000006</v>
      </c>
      <c r="M31" s="24">
        <f>'Параметры'!$C$10*'Параметры'!$C$9*100/'Параметры'!$C$6/E31/'Параметры'!$C$8</f>
        <v>0.15027768703038222</v>
      </c>
    </row>
    <row r="32">
      <c r="A32" s="17" t="inlineStr">
        <is>
          <t>Д</t>
        </is>
      </c>
      <c r="B32" s="17" t="inlineStr">
        <is>
          <t>№6</t>
        </is>
      </c>
      <c r="C32" s="17" t="inlineStr">
        <is>
          <t>3-2</t>
        </is>
      </c>
      <c r="D32" s="18" t="n">
        <v>4590</v>
      </c>
      <c r="E32" s="19" t="n">
        <v>1532.3</v>
      </c>
      <c r="F32" s="20">
        <f>'Параметры'!$C$7</f>
        <v>0.5</v>
      </c>
      <c r="G32" s="21">
        <f>E32*F32*'Параметры'!$C$8</f>
        <v>766.15</v>
      </c>
      <c r="H32" s="21">
        <f>G32*'Параметры'!$C$6/100</f>
        <v>76.615</v>
      </c>
      <c r="I32" s="19">
        <f>H32/'Параметры'!$C$9</f>
        <v>3.3310869565217387</v>
      </c>
      <c r="J32" s="18">
        <f>ROUNDUP(H32/'Параметры'!$C$9,0)</f>
        <v>4</v>
      </c>
      <c r="K32" s="21">
        <f>'Параметры'!$C$10*'Параметры'!$C$9</f>
        <v>23</v>
      </c>
      <c r="L32" s="21">
        <f>K32-H32</f>
        <v>-53.614999999999995</v>
      </c>
      <c r="M32" s="20">
        <f>'Параметры'!$C$10*'Параметры'!$C$9*100/'Параметры'!$C$6/E32/'Параметры'!$C$8</f>
        <v>0.15010115512628075</v>
      </c>
    </row>
    <row r="33">
      <c r="A33" s="22" t="inlineStr">
        <is>
          <t>Д</t>
        </is>
      </c>
      <c r="B33" s="22" t="inlineStr">
        <is>
          <t>№6</t>
        </is>
      </c>
      <c r="C33" s="22" t="inlineStr">
        <is>
          <t>3-1</t>
        </is>
      </c>
      <c r="D33" s="13" t="n">
        <v>4593</v>
      </c>
      <c r="E33" s="23" t="n">
        <v>1531.1</v>
      </c>
      <c r="F33" s="24">
        <f>'Параметры'!$C$7</f>
        <v>0.5</v>
      </c>
      <c r="G33" s="25">
        <f>E33*F33*'Параметры'!$C$8</f>
        <v>765.55</v>
      </c>
      <c r="H33" s="25">
        <f>G33*'Параметры'!$C$6/100</f>
        <v>76.555</v>
      </c>
      <c r="I33" s="23">
        <f>H33/'Параметры'!$C$9</f>
        <v>3.3284782608695656</v>
      </c>
      <c r="J33" s="13">
        <f>ROUNDUP(H33/'Параметры'!$C$9,0)</f>
        <v>4</v>
      </c>
      <c r="K33" s="25">
        <f>'Параметры'!$C$10*'Параметры'!$C$9</f>
        <v>23</v>
      </c>
      <c r="L33" s="25">
        <f>K33-H33</f>
        <v>-53.55500000000001</v>
      </c>
      <c r="M33" s="24">
        <f>'Параметры'!$C$10*'Параметры'!$C$9*100/'Параметры'!$C$6/E33/'Параметры'!$C$8</f>
        <v>0.15021879694337406</v>
      </c>
    </row>
    <row r="34">
      <c r="A34" s="17" t="inlineStr">
        <is>
          <t>Д</t>
        </is>
      </c>
      <c r="B34" s="17" t="inlineStr">
        <is>
          <t>№6</t>
        </is>
      </c>
      <c r="C34" s="17" t="inlineStr">
        <is>
          <t>4-4</t>
        </is>
      </c>
      <c r="D34" s="18" t="n">
        <v>4704</v>
      </c>
      <c r="E34" s="19" t="n">
        <v>1568.4</v>
      </c>
      <c r="F34" s="20">
        <f>'Параметры'!$C$7</f>
        <v>0.5</v>
      </c>
      <c r="G34" s="21">
        <f>E34*F34*'Параметры'!$C$8</f>
        <v>784.2</v>
      </c>
      <c r="H34" s="21">
        <f>G34*'Параметры'!$C$6/100</f>
        <v>78.42</v>
      </c>
      <c r="I34" s="19">
        <f>H34/'Параметры'!$C$9</f>
        <v>3.4095652173913042</v>
      </c>
      <c r="J34" s="18">
        <f>ROUNDUP(H34/'Параметры'!$C$9,0)</f>
        <v>4</v>
      </c>
      <c r="K34" s="21">
        <f>'Параметры'!$C$10*'Параметры'!$C$9</f>
        <v>23</v>
      </c>
      <c r="L34" s="21">
        <f>K34-H34</f>
        <v>-55.42</v>
      </c>
      <c r="M34" s="20">
        <f>'Параметры'!$C$10*'Параметры'!$C$9*100/'Параметры'!$C$6/E34/'Параметры'!$C$8</f>
        <v>0.1466462637082377</v>
      </c>
    </row>
    <row r="35">
      <c r="A35" s="22" t="inlineStr">
        <is>
          <t>Д</t>
        </is>
      </c>
      <c r="B35" s="22" t="inlineStr">
        <is>
          <t>№6</t>
        </is>
      </c>
      <c r="C35" s="22" t="inlineStr">
        <is>
          <t>4-3</t>
        </is>
      </c>
      <c r="D35" s="13" t="n">
        <v>4710</v>
      </c>
      <c r="E35" s="23" t="n">
        <v>1570.4</v>
      </c>
      <c r="F35" s="24">
        <f>'Параметры'!$C$7</f>
        <v>0.5</v>
      </c>
      <c r="G35" s="25">
        <f>E35*F35*'Параметры'!$C$8</f>
        <v>785.2</v>
      </c>
      <c r="H35" s="25">
        <f>G35*'Параметры'!$C$6/100</f>
        <v>78.52</v>
      </c>
      <c r="I35" s="23">
        <f>H35/'Параметры'!$C$9</f>
        <v>3.4139130434782605</v>
      </c>
      <c r="J35" s="13">
        <f>ROUNDUP(H35/'Параметры'!$C$9,0)</f>
        <v>4</v>
      </c>
      <c r="K35" s="25">
        <f>'Параметры'!$C$10*'Параметры'!$C$9</f>
        <v>23</v>
      </c>
      <c r="L35" s="25">
        <f>K35-H35</f>
        <v>-55.519999999999996</v>
      </c>
      <c r="M35" s="24">
        <f>'Параметры'!$C$10*'Параметры'!$C$9*100/'Параметры'!$C$6/E35/'Параметры'!$C$8</f>
        <v>0.14645950076413652</v>
      </c>
    </row>
    <row r="36">
      <c r="A36" s="17" t="inlineStr">
        <is>
          <t>Д</t>
        </is>
      </c>
      <c r="B36" s="17" t="inlineStr">
        <is>
          <t>№6</t>
        </is>
      </c>
      <c r="C36" s="17" t="inlineStr">
        <is>
          <t>4-2</t>
        </is>
      </c>
      <c r="D36" s="18" t="n">
        <v>4722</v>
      </c>
      <c r="E36" s="19" t="n">
        <v>1571.9</v>
      </c>
      <c r="F36" s="20">
        <f>'Параметры'!$C$7</f>
        <v>0.5</v>
      </c>
      <c r="G36" s="21">
        <f>E36*F36*'Параметры'!$C$8</f>
        <v>785.95</v>
      </c>
      <c r="H36" s="21">
        <f>G36*'Параметры'!$C$6/100</f>
        <v>78.595</v>
      </c>
      <c r="I36" s="19">
        <f>H36/'Параметры'!$C$9</f>
        <v>3.417173913043478</v>
      </c>
      <c r="J36" s="18">
        <f>ROUNDUP(H36/'Параметры'!$C$9,0)</f>
        <v>4</v>
      </c>
      <c r="K36" s="21">
        <f>'Параметры'!$C$10*'Параметры'!$C$9</f>
        <v>23</v>
      </c>
      <c r="L36" s="21">
        <f>K36-H36</f>
        <v>-55.595</v>
      </c>
      <c r="M36" s="20">
        <f>'Параметры'!$C$10*'Параметры'!$C$9*100/'Параметры'!$C$6/E36/'Параметры'!$C$8</f>
        <v>0.1463197404415039</v>
      </c>
    </row>
    <row r="37">
      <c r="A37" s="22" t="inlineStr">
        <is>
          <t>Д</t>
        </is>
      </c>
      <c r="B37" s="22" t="inlineStr">
        <is>
          <t>№6</t>
        </is>
      </c>
      <c r="C37" s="22" t="inlineStr">
        <is>
          <t>4-1</t>
        </is>
      </c>
      <c r="D37" s="13" t="n">
        <v>4725</v>
      </c>
      <c r="E37" s="23" t="n">
        <v>1574.8</v>
      </c>
      <c r="F37" s="24">
        <f>'Параметры'!$C$7</f>
        <v>0.5</v>
      </c>
      <c r="G37" s="25">
        <f>E37*F37*'Параметры'!$C$8</f>
        <v>787.4</v>
      </c>
      <c r="H37" s="25">
        <f>G37*'Параметры'!$C$6/100</f>
        <v>78.74</v>
      </c>
      <c r="I37" s="23">
        <f>H37/'Параметры'!$C$9</f>
        <v>3.423478260869565</v>
      </c>
      <c r="J37" s="13">
        <f>ROUNDUP(H37/'Параметры'!$C$9,0)</f>
        <v>4</v>
      </c>
      <c r="K37" s="25">
        <f>'Параметры'!$C$10*'Параметры'!$C$9</f>
        <v>23</v>
      </c>
      <c r="L37" s="25">
        <f>K37-H37</f>
        <v>-55.739999999999995</v>
      </c>
      <c r="M37" s="24">
        <f>'Параметры'!$C$10*'Параметры'!$C$9*100/'Параметры'!$C$6/E37/'Параметры'!$C$8</f>
        <v>0.1460502921005842</v>
      </c>
    </row>
    <row r="38">
      <c r="A38" s="17" t="inlineStr">
        <is>
          <t>Б</t>
        </is>
      </c>
      <c r="B38" s="17" t="inlineStr">
        <is>
          <t>№7</t>
        </is>
      </c>
      <c r="C38" s="17" t="inlineStr">
        <is>
          <t>1</t>
        </is>
      </c>
      <c r="D38" s="18" t="n">
        <v>3456</v>
      </c>
      <c r="E38" s="19" t="n">
        <v>1162.9</v>
      </c>
      <c r="F38" s="20">
        <f>'Параметры'!$C$7</f>
        <v>0.5</v>
      </c>
      <c r="G38" s="21">
        <f>E38*F38*'Параметры'!$C$8</f>
        <v>581.45</v>
      </c>
      <c r="H38" s="21">
        <f>G38*'Параметры'!$C$6/100</f>
        <v>58.145</v>
      </c>
      <c r="I38" s="19">
        <f>H38/'Параметры'!$C$9</f>
        <v>2.52804347826087</v>
      </c>
      <c r="J38" s="18">
        <f>ROUNDUP(H38/'Параметры'!$C$9,0)</f>
        <v>3</v>
      </c>
      <c r="K38" s="21">
        <f>'Параметры'!$C$10*'Параметры'!$C$9</f>
        <v>23</v>
      </c>
      <c r="L38" s="21">
        <f>K38-H38</f>
        <v>-35.145</v>
      </c>
      <c r="M38" s="20">
        <f>'Параметры'!$C$10*'Параметры'!$C$9*100/'Параметры'!$C$6/E38/'Параметры'!$C$8</f>
        <v>0.19778140854759652</v>
      </c>
    </row>
    <row r="39">
      <c r="A39" s="22" t="inlineStr">
        <is>
          <t>Б</t>
        </is>
      </c>
      <c r="B39" s="22" t="inlineStr">
        <is>
          <t>№7</t>
        </is>
      </c>
      <c r="C39" s="22" t="inlineStr">
        <is>
          <t>2</t>
        </is>
      </c>
      <c r="D39" s="13" t="n">
        <v>3456</v>
      </c>
      <c r="E39" s="23" t="n">
        <v>1162.9</v>
      </c>
      <c r="F39" s="24">
        <f>'Параметры'!$C$7</f>
        <v>0.5</v>
      </c>
      <c r="G39" s="25">
        <f>E39*F39*'Параметры'!$C$8</f>
        <v>581.45</v>
      </c>
      <c r="H39" s="25">
        <f>G39*'Параметры'!$C$6/100</f>
        <v>58.145</v>
      </c>
      <c r="I39" s="23">
        <f>H39/'Параметры'!$C$9</f>
        <v>2.52804347826087</v>
      </c>
      <c r="J39" s="13">
        <f>ROUNDUP(H39/'Параметры'!$C$9,0)</f>
        <v>3</v>
      </c>
      <c r="K39" s="25">
        <f>'Параметры'!$C$10*'Параметры'!$C$9</f>
        <v>23</v>
      </c>
      <c r="L39" s="25">
        <f>K39-H39</f>
        <v>-35.145</v>
      </c>
      <c r="M39" s="24">
        <f>'Параметры'!$C$10*'Параметры'!$C$9*100/'Параметры'!$C$6/E39/'Параметры'!$C$8</f>
        <v>0.19778140854759652</v>
      </c>
    </row>
    <row r="40">
      <c r="A40" s="17" t="inlineStr">
        <is>
          <t>Б</t>
        </is>
      </c>
      <c r="B40" s="17" t="inlineStr">
        <is>
          <t>№7</t>
        </is>
      </c>
      <c r="C40" s="17" t="inlineStr">
        <is>
          <t>3</t>
        </is>
      </c>
      <c r="D40" s="18" t="n">
        <v>3456</v>
      </c>
      <c r="E40" s="19" t="n">
        <v>1150.4</v>
      </c>
      <c r="F40" s="20">
        <f>'Параметры'!$C$7</f>
        <v>0.5</v>
      </c>
      <c r="G40" s="21">
        <f>E40*F40*'Параметры'!$C$8</f>
        <v>575.2</v>
      </c>
      <c r="H40" s="21">
        <f>G40*'Параметры'!$C$6/100</f>
        <v>57.52</v>
      </c>
      <c r="I40" s="19">
        <f>H40/'Параметры'!$C$9</f>
        <v>2.5008695652173913</v>
      </c>
      <c r="J40" s="18">
        <f>ROUNDUP(H40/'Параметры'!$C$9,0)</f>
        <v>3</v>
      </c>
      <c r="K40" s="21">
        <f>'Параметры'!$C$10*'Параметры'!$C$9</f>
        <v>23</v>
      </c>
      <c r="L40" s="21">
        <f>K40-H40</f>
        <v>-34.52</v>
      </c>
      <c r="M40" s="20">
        <f>'Параметры'!$C$10*'Параметры'!$C$9*100/'Параметры'!$C$6/E40/'Параметры'!$C$8</f>
        <v>0.19993045897079276</v>
      </c>
    </row>
    <row r="41">
      <c r="A41" s="22" t="inlineStr">
        <is>
          <t>Б</t>
        </is>
      </c>
      <c r="B41" s="22" t="inlineStr">
        <is>
          <t>№7</t>
        </is>
      </c>
      <c r="C41" s="22" t="inlineStr">
        <is>
          <t>4</t>
        </is>
      </c>
      <c r="D41" s="13" t="n">
        <v>3456</v>
      </c>
      <c r="E41" s="23" t="n">
        <v>1150.9</v>
      </c>
      <c r="F41" s="24">
        <f>'Параметры'!$C$7</f>
        <v>0.5</v>
      </c>
      <c r="G41" s="25">
        <f>E41*F41*'Параметры'!$C$8</f>
        <v>575.45</v>
      </c>
      <c r="H41" s="25">
        <f>G41*'Параметры'!$C$6/100</f>
        <v>57.545</v>
      </c>
      <c r="I41" s="23">
        <f>H41/'Параметры'!$C$9</f>
        <v>2.5019565217391304</v>
      </c>
      <c r="J41" s="13">
        <f>ROUNDUP(H41/'Параметры'!$C$9,0)</f>
        <v>3</v>
      </c>
      <c r="K41" s="25">
        <f>'Параметры'!$C$10*'Параметры'!$C$9</f>
        <v>23</v>
      </c>
      <c r="L41" s="25">
        <f>K41-H41</f>
        <v>-34.545</v>
      </c>
      <c r="M41" s="24">
        <f>'Параметры'!$C$10*'Параметры'!$C$9*100/'Параметры'!$C$6/E41/'Параметры'!$C$8</f>
        <v>0.19984360066035275</v>
      </c>
    </row>
    <row r="42">
      <c r="A42" s="17" t="inlineStr">
        <is>
          <t>Б</t>
        </is>
      </c>
      <c r="B42" s="17" t="inlineStr">
        <is>
          <t>№7</t>
        </is>
      </c>
      <c r="C42" s="17" t="inlineStr">
        <is>
          <t>5</t>
        </is>
      </c>
      <c r="D42" s="18" t="n">
        <v>3456</v>
      </c>
      <c r="E42" s="19" t="n">
        <v>1108.4</v>
      </c>
      <c r="F42" s="20">
        <f>'Параметры'!$C$7</f>
        <v>0.5</v>
      </c>
      <c r="G42" s="21">
        <f>E42*F42*'Параметры'!$C$8</f>
        <v>554.2</v>
      </c>
      <c r="H42" s="21">
        <f>G42*'Параметры'!$C$6/100</f>
        <v>55.42</v>
      </c>
      <c r="I42" s="19">
        <f>H42/'Параметры'!$C$9</f>
        <v>2.4095652173913042</v>
      </c>
      <c r="J42" s="18">
        <f>ROUNDUP(H42/'Параметры'!$C$9,0)</f>
        <v>3</v>
      </c>
      <c r="K42" s="21">
        <f>'Параметры'!$C$10*'Параметры'!$C$9</f>
        <v>23</v>
      </c>
      <c r="L42" s="21">
        <f>K42-H42</f>
        <v>-32.42</v>
      </c>
      <c r="M42" s="20">
        <f>'Параметры'!$C$10*'Параметры'!$C$9*100/'Параметры'!$C$6/E42/'Параметры'!$C$8</f>
        <v>0.2075063154095994</v>
      </c>
    </row>
    <row r="43">
      <c r="A43" s="22" t="inlineStr">
        <is>
          <t>Б</t>
        </is>
      </c>
      <c r="B43" s="22" t="inlineStr">
        <is>
          <t>№7</t>
        </is>
      </c>
      <c r="C43" s="22" t="inlineStr">
        <is>
          <t>6</t>
        </is>
      </c>
      <c r="D43" s="13" t="n">
        <v>3240</v>
      </c>
      <c r="E43" s="23" t="n">
        <v>1117</v>
      </c>
      <c r="F43" s="24">
        <f>'Параметры'!$C$7</f>
        <v>0.5</v>
      </c>
      <c r="G43" s="25">
        <f>E43*F43*'Параметры'!$C$8</f>
        <v>558.5</v>
      </c>
      <c r="H43" s="25">
        <f>G43*'Параметры'!$C$6/100</f>
        <v>55.85</v>
      </c>
      <c r="I43" s="23">
        <f>H43/'Параметры'!$C$9</f>
        <v>2.4282608695652175</v>
      </c>
      <c r="J43" s="13">
        <f>ROUNDUP(H43/'Параметры'!$C$9,0)</f>
        <v>3</v>
      </c>
      <c r="K43" s="25">
        <f>'Параметры'!$C$10*'Параметры'!$C$9</f>
        <v>23</v>
      </c>
      <c r="L43" s="25">
        <f>K43-H43</f>
        <v>-32.85</v>
      </c>
      <c r="M43" s="24">
        <f>'Параметры'!$C$10*'Параметры'!$C$9*100/'Параметры'!$C$6/E43/'Параметры'!$C$8</f>
        <v>0.20590868397493287</v>
      </c>
    </row>
    <row r="44">
      <c r="A44" s="17" t="inlineStr">
        <is>
          <t>Б</t>
        </is>
      </c>
      <c r="B44" s="17" t="inlineStr">
        <is>
          <t>№7</t>
        </is>
      </c>
      <c r="C44" s="17" t="inlineStr">
        <is>
          <t>7</t>
        </is>
      </c>
      <c r="D44" s="18" t="n">
        <v>3240</v>
      </c>
      <c r="E44" s="19" t="n">
        <v>1091.5</v>
      </c>
      <c r="F44" s="20">
        <f>'Параметры'!$C$7</f>
        <v>0.5</v>
      </c>
      <c r="G44" s="21">
        <f>E44*F44*'Параметры'!$C$8</f>
        <v>545.75</v>
      </c>
      <c r="H44" s="21">
        <f>G44*'Параметры'!$C$6/100</f>
        <v>54.575</v>
      </c>
      <c r="I44" s="19">
        <f>H44/'Параметры'!$C$9</f>
        <v>2.372826086956522</v>
      </c>
      <c r="J44" s="18">
        <f>ROUNDUP(H44/'Параметры'!$C$9,0)</f>
        <v>3</v>
      </c>
      <c r="K44" s="21">
        <f>'Параметры'!$C$10*'Параметры'!$C$9</f>
        <v>23</v>
      </c>
      <c r="L44" s="21">
        <f>K44-H44</f>
        <v>-31.575000000000003</v>
      </c>
      <c r="M44" s="20">
        <f>'Параметры'!$C$10*'Параметры'!$C$9*100/'Параметры'!$C$6/E44/'Параметры'!$C$8</f>
        <v>0.21071919377004122</v>
      </c>
    </row>
    <row r="45">
      <c r="A45" s="22" t="inlineStr">
        <is>
          <t>Б</t>
        </is>
      </c>
      <c r="B45" s="22" t="inlineStr">
        <is>
          <t>№7</t>
        </is>
      </c>
      <c r="C45" s="22" t="inlineStr">
        <is>
          <t>8</t>
        </is>
      </c>
      <c r="D45" s="13" t="n">
        <v>3240</v>
      </c>
      <c r="E45" s="23" t="n">
        <v>1088.6</v>
      </c>
      <c r="F45" s="24">
        <f>'Параметры'!$C$7</f>
        <v>0.5</v>
      </c>
      <c r="G45" s="25">
        <f>E45*F45*'Параметры'!$C$8</f>
        <v>544.3</v>
      </c>
      <c r="H45" s="25">
        <f>G45*'Параметры'!$C$6/100</f>
        <v>54.43</v>
      </c>
      <c r="I45" s="23">
        <f>H45/'Параметры'!$C$9</f>
        <v>2.3665217391304347</v>
      </c>
      <c r="J45" s="13">
        <f>ROUNDUP(H45/'Параметры'!$C$9,0)</f>
        <v>3</v>
      </c>
      <c r="K45" s="25">
        <f>'Параметры'!$C$10*'Параметры'!$C$9</f>
        <v>23</v>
      </c>
      <c r="L45" s="25">
        <f>K45-H45</f>
        <v>-31.43</v>
      </c>
      <c r="M45" s="24">
        <f>'Параметры'!$C$10*'Параметры'!$C$9*100/'Параметры'!$C$6/E45/'Параметры'!$C$8</f>
        <v>0.21128054381774758</v>
      </c>
    </row>
    <row r="46">
      <c r="A46" s="17" t="inlineStr">
        <is>
          <t>Б</t>
        </is>
      </c>
      <c r="B46" s="17" t="inlineStr">
        <is>
          <t>№7</t>
        </is>
      </c>
      <c r="C46" s="17" t="inlineStr">
        <is>
          <t>9</t>
        </is>
      </c>
      <c r="D46" s="18" t="n">
        <v>3240</v>
      </c>
      <c r="E46" s="19" t="n">
        <v>1102.9</v>
      </c>
      <c r="F46" s="20">
        <f>'Параметры'!$C$7</f>
        <v>0.5</v>
      </c>
      <c r="G46" s="21">
        <f>E46*F46*'Параметры'!$C$8</f>
        <v>551.45</v>
      </c>
      <c r="H46" s="21">
        <f>G46*'Параметры'!$C$6/100</f>
        <v>55.145</v>
      </c>
      <c r="I46" s="19">
        <f>H46/'Параметры'!$C$9</f>
        <v>2.397608695652174</v>
      </c>
      <c r="J46" s="18">
        <f>ROUNDUP(H46/'Параметры'!$C$9,0)</f>
        <v>3</v>
      </c>
      <c r="K46" s="21">
        <f>'Параметры'!$C$10*'Параметры'!$C$9</f>
        <v>23</v>
      </c>
      <c r="L46" s="21">
        <f>K46-H46</f>
        <v>-32.145</v>
      </c>
      <c r="M46" s="20">
        <f>'Параметры'!$C$10*'Параметры'!$C$9*100/'Параметры'!$C$6/E46/'Параметры'!$C$8</f>
        <v>0.20854111886843774</v>
      </c>
    </row>
    <row r="47">
      <c r="A47" s="22" t="inlineStr">
        <is>
          <t>Б</t>
        </is>
      </c>
      <c r="B47" s="22" t="inlineStr">
        <is>
          <t>№7</t>
        </is>
      </c>
      <c r="C47" s="22" t="inlineStr">
        <is>
          <t>10</t>
        </is>
      </c>
      <c r="D47" s="13" t="n">
        <v>3456</v>
      </c>
      <c r="E47" s="23" t="n">
        <v>1082.4</v>
      </c>
      <c r="F47" s="24">
        <f>'Параметры'!$C$7</f>
        <v>0.5</v>
      </c>
      <c r="G47" s="25">
        <f>E47*F47*'Параметры'!$C$8</f>
        <v>541.2</v>
      </c>
      <c r="H47" s="25">
        <f>G47*'Параметры'!$C$6/100</f>
        <v>54.12</v>
      </c>
      <c r="I47" s="23">
        <f>H47/'Параметры'!$C$9</f>
        <v>2.3530434782608696</v>
      </c>
      <c r="J47" s="13">
        <f>ROUNDUP(H47/'Параметры'!$C$9,0)</f>
        <v>3</v>
      </c>
      <c r="K47" s="25">
        <f>'Параметры'!$C$10*'Параметры'!$C$9</f>
        <v>23</v>
      </c>
      <c r="L47" s="25">
        <f>K47-H47</f>
        <v>-31.119999999999997</v>
      </c>
      <c r="M47" s="24">
        <f>'Параметры'!$C$10*'Параметры'!$C$9*100/'Параметры'!$C$6/E47/'Параметры'!$C$8</f>
        <v>0.21249076127124905</v>
      </c>
    </row>
    <row r="48">
      <c r="A48" s="17" t="inlineStr">
        <is>
          <t>Е</t>
        </is>
      </c>
      <c r="B48" s="17" t="inlineStr">
        <is>
          <t>№8</t>
        </is>
      </c>
      <c r="C48" s="17" t="inlineStr">
        <is>
          <t>1</t>
        </is>
      </c>
      <c r="D48" s="18" t="n">
        <v>3240</v>
      </c>
      <c r="E48" s="19" t="n">
        <v>1081.7</v>
      </c>
      <c r="F48" s="20">
        <f>'Параметры'!$C$7</f>
        <v>0.5</v>
      </c>
      <c r="G48" s="21">
        <f>E48*F48*'Параметры'!$C$8</f>
        <v>540.85</v>
      </c>
      <c r="H48" s="21">
        <f>G48*'Параметры'!$C$6/100</f>
        <v>54.085</v>
      </c>
      <c r="I48" s="19">
        <f>H48/'Параметры'!$C$9</f>
        <v>2.3515217391304346</v>
      </c>
      <c r="J48" s="18">
        <f>ROUNDUP(H48/'Параметры'!$C$9,0)</f>
        <v>3</v>
      </c>
      <c r="K48" s="21">
        <f>'Параметры'!$C$10*'Параметры'!$C$9</f>
        <v>23</v>
      </c>
      <c r="L48" s="21">
        <f>K48-H48</f>
        <v>-31.085</v>
      </c>
      <c r="M48" s="20">
        <f>'Параметры'!$C$10*'Параметры'!$C$9*100/'Параметры'!$C$6/E48/'Параметры'!$C$8</f>
        <v>0.2126282703152445</v>
      </c>
    </row>
    <row r="49">
      <c r="A49" s="22" t="inlineStr">
        <is>
          <t>Е</t>
        </is>
      </c>
      <c r="B49" s="22" t="inlineStr">
        <is>
          <t>№8</t>
        </is>
      </c>
      <c r="C49" s="22" t="inlineStr">
        <is>
          <t>2</t>
        </is>
      </c>
      <c r="D49" s="13" t="n">
        <v>3240</v>
      </c>
      <c r="E49" s="23" t="n">
        <v>1088</v>
      </c>
      <c r="F49" s="24">
        <f>'Параметры'!$C$7</f>
        <v>0.5</v>
      </c>
      <c r="G49" s="25">
        <f>E49*F49*'Параметры'!$C$8</f>
        <v>544</v>
      </c>
      <c r="H49" s="25">
        <f>G49*'Параметры'!$C$6/100</f>
        <v>54.4</v>
      </c>
      <c r="I49" s="23">
        <f>H49/'Параметры'!$C$9</f>
        <v>2.365217391304348</v>
      </c>
      <c r="J49" s="13">
        <f>ROUNDUP(H49/'Параметры'!$C$9,0)</f>
        <v>3</v>
      </c>
      <c r="K49" s="25">
        <f>'Параметры'!$C$10*'Параметры'!$C$9</f>
        <v>23</v>
      </c>
      <c r="L49" s="25">
        <f>K49-H49</f>
        <v>-31.4</v>
      </c>
      <c r="M49" s="24">
        <f>'Параметры'!$C$10*'Параметры'!$C$9*100/'Параметры'!$C$6/E49/'Параметры'!$C$8</f>
        <v>0.2113970588235294</v>
      </c>
    </row>
    <row r="50">
      <c r="A50" s="17" t="inlineStr">
        <is>
          <t>Е</t>
        </is>
      </c>
      <c r="B50" s="17" t="inlineStr">
        <is>
          <t>№8</t>
        </is>
      </c>
      <c r="C50" s="17" t="inlineStr">
        <is>
          <t>3</t>
        </is>
      </c>
      <c r="D50" s="18" t="n">
        <v>3240</v>
      </c>
      <c r="E50" s="19" t="n">
        <v>1086.2</v>
      </c>
      <c r="F50" s="20">
        <f>'Параметры'!$C$7</f>
        <v>0.5</v>
      </c>
      <c r="G50" s="21">
        <f>E50*F50*'Параметры'!$C$8</f>
        <v>543.1</v>
      </c>
      <c r="H50" s="21">
        <f>G50*'Параметры'!$C$6/100</f>
        <v>54.31</v>
      </c>
      <c r="I50" s="19">
        <f>H50/'Параметры'!$C$9</f>
        <v>2.361304347826087</v>
      </c>
      <c r="J50" s="18">
        <f>ROUNDUP(H50/'Параметры'!$C$9,0)</f>
        <v>3</v>
      </c>
      <c r="K50" s="21">
        <f>'Параметры'!$C$10*'Параметры'!$C$9</f>
        <v>23</v>
      </c>
      <c r="L50" s="21">
        <f>K50-H50</f>
        <v>-31.310000000000002</v>
      </c>
      <c r="M50" s="20">
        <f>'Параметры'!$C$10*'Параметры'!$C$9*100/'Параметры'!$C$6/E50/'Параметры'!$C$8</f>
        <v>0.21174737617381698</v>
      </c>
    </row>
    <row r="51">
      <c r="A51" s="22" t="inlineStr">
        <is>
          <t>Е</t>
        </is>
      </c>
      <c r="B51" s="22" t="inlineStr">
        <is>
          <t>№8</t>
        </is>
      </c>
      <c r="C51" s="22" t="inlineStr">
        <is>
          <t>4</t>
        </is>
      </c>
      <c r="D51" s="13" t="n">
        <v>3240</v>
      </c>
      <c r="E51" s="23" t="n">
        <v>1087.4</v>
      </c>
      <c r="F51" s="24">
        <f>'Параметры'!$C$7</f>
        <v>0.5</v>
      </c>
      <c r="G51" s="25">
        <f>E51*F51*'Параметры'!$C$8</f>
        <v>543.7</v>
      </c>
      <c r="H51" s="25">
        <f>G51*'Параметры'!$C$6/100</f>
        <v>54.37</v>
      </c>
      <c r="I51" s="23">
        <f>H51/'Параметры'!$C$9</f>
        <v>2.3639130434782607</v>
      </c>
      <c r="J51" s="13">
        <f>ROUNDUP(H51/'Параметры'!$C$9,0)</f>
        <v>3</v>
      </c>
      <c r="K51" s="25">
        <f>'Параметры'!$C$10*'Параметры'!$C$9</f>
        <v>23</v>
      </c>
      <c r="L51" s="25">
        <f>K51-H51</f>
        <v>-31.369999999999997</v>
      </c>
      <c r="M51" s="24">
        <f>'Параметры'!$C$10*'Параметры'!$C$9*100/'Параметры'!$C$6/E51/'Параметры'!$C$8</f>
        <v>0.21151370240941694</v>
      </c>
    </row>
    <row r="52">
      <c r="A52" s="17" t="inlineStr">
        <is>
          <t>Е</t>
        </is>
      </c>
      <c r="B52" s="17" t="inlineStr">
        <is>
          <t>№8</t>
        </is>
      </c>
      <c r="C52" s="17" t="inlineStr">
        <is>
          <t>5</t>
        </is>
      </c>
      <c r="D52" s="18" t="n">
        <v>3456</v>
      </c>
      <c r="E52" s="19" t="n">
        <v>1119.5</v>
      </c>
      <c r="F52" s="20">
        <f>'Параметры'!$C$7</f>
        <v>0.5</v>
      </c>
      <c r="G52" s="21">
        <f>E52*F52*'Параметры'!$C$8</f>
        <v>559.75</v>
      </c>
      <c r="H52" s="21">
        <f>G52*'Параметры'!$C$6/100</f>
        <v>55.975</v>
      </c>
      <c r="I52" s="19">
        <f>H52/'Параметры'!$C$9</f>
        <v>2.4336956521739133</v>
      </c>
      <c r="J52" s="18">
        <f>ROUNDUP(H52/'Параметры'!$C$9,0)</f>
        <v>3</v>
      </c>
      <c r="K52" s="21">
        <f>'Параметры'!$C$10*'Параметры'!$C$9</f>
        <v>23</v>
      </c>
      <c r="L52" s="21">
        <f>K52-H52</f>
        <v>-32.975</v>
      </c>
      <c r="M52" s="20">
        <f>'Параметры'!$C$10*'Параметры'!$C$9*100/'Параметры'!$C$6/E52/'Параметры'!$C$8</f>
        <v>0.20544886109870478</v>
      </c>
    </row>
    <row r="53">
      <c r="A53" s="22" t="inlineStr">
        <is>
          <t>Е</t>
        </is>
      </c>
      <c r="B53" s="22" t="inlineStr">
        <is>
          <t>№8</t>
        </is>
      </c>
      <c r="C53" s="22" t="inlineStr">
        <is>
          <t>6</t>
        </is>
      </c>
      <c r="D53" s="13" t="n">
        <v>3240</v>
      </c>
      <c r="E53" s="23" t="n">
        <v>1119.5</v>
      </c>
      <c r="F53" s="24">
        <f>'Параметры'!$C$7</f>
        <v>0.5</v>
      </c>
      <c r="G53" s="25">
        <f>E53*F53*'Параметры'!$C$8</f>
        <v>559.75</v>
      </c>
      <c r="H53" s="25">
        <f>G53*'Параметры'!$C$6/100</f>
        <v>55.975</v>
      </c>
      <c r="I53" s="23">
        <f>H53/'Параметры'!$C$9</f>
        <v>2.4336956521739133</v>
      </c>
      <c r="J53" s="13">
        <f>ROUNDUP(H53/'Параметры'!$C$9,0)</f>
        <v>3</v>
      </c>
      <c r="K53" s="25">
        <f>'Параметры'!$C$10*'Параметры'!$C$9</f>
        <v>23</v>
      </c>
      <c r="L53" s="25">
        <f>K53-H53</f>
        <v>-32.975</v>
      </c>
      <c r="M53" s="24">
        <f>'Параметры'!$C$10*'Параметры'!$C$9*100/'Параметры'!$C$6/E53/'Параметры'!$C$8</f>
        <v>0.20544886109870478</v>
      </c>
    </row>
    <row r="54">
      <c r="A54" s="17" t="inlineStr">
        <is>
          <t>Е</t>
        </is>
      </c>
      <c r="B54" s="17" t="inlineStr">
        <is>
          <t>№8</t>
        </is>
      </c>
      <c r="C54" s="17" t="inlineStr">
        <is>
          <t>7</t>
        </is>
      </c>
      <c r="D54" s="18" t="n">
        <v>3240</v>
      </c>
      <c r="E54" s="19" t="n">
        <v>1087.4</v>
      </c>
      <c r="F54" s="20">
        <f>'Параметры'!$C$7</f>
        <v>0.5</v>
      </c>
      <c r="G54" s="21">
        <f>E54*F54*'Параметры'!$C$8</f>
        <v>543.7</v>
      </c>
      <c r="H54" s="21">
        <f>G54*'Параметры'!$C$6/100</f>
        <v>54.37</v>
      </c>
      <c r="I54" s="19">
        <f>H54/'Параметры'!$C$9</f>
        <v>2.3639130434782607</v>
      </c>
      <c r="J54" s="18">
        <f>ROUNDUP(H54/'Параметры'!$C$9,0)</f>
        <v>3</v>
      </c>
      <c r="K54" s="21">
        <f>'Параметры'!$C$10*'Параметры'!$C$9</f>
        <v>23</v>
      </c>
      <c r="L54" s="21">
        <f>K54-H54</f>
        <v>-31.369999999999997</v>
      </c>
      <c r="M54" s="20">
        <f>'Параметры'!$C$10*'Параметры'!$C$9*100/'Параметры'!$C$6/E54/'Параметры'!$C$8</f>
        <v>0.21151370240941694</v>
      </c>
    </row>
    <row r="55">
      <c r="A55" s="22" t="inlineStr">
        <is>
          <t>Е</t>
        </is>
      </c>
      <c r="B55" s="22" t="inlineStr">
        <is>
          <t>№8</t>
        </is>
      </c>
      <c r="C55" s="22" t="inlineStr">
        <is>
          <t>8</t>
        </is>
      </c>
      <c r="D55" s="13" t="n">
        <v>3240</v>
      </c>
      <c r="E55" s="23" t="n">
        <v>1085</v>
      </c>
      <c r="F55" s="24">
        <f>'Параметры'!$C$7</f>
        <v>0.5</v>
      </c>
      <c r="G55" s="25">
        <f>E55*F55*'Параметры'!$C$8</f>
        <v>542.5</v>
      </c>
      <c r="H55" s="25">
        <f>G55*'Параметры'!$C$6/100</f>
        <v>54.25</v>
      </c>
      <c r="I55" s="23">
        <f>H55/'Параметры'!$C$9</f>
        <v>2.358695652173913</v>
      </c>
      <c r="J55" s="13">
        <f>ROUNDUP(H55/'Параметры'!$C$9,0)</f>
        <v>3</v>
      </c>
      <c r="K55" s="25">
        <f>'Параметры'!$C$10*'Параметры'!$C$9</f>
        <v>23</v>
      </c>
      <c r="L55" s="25">
        <f>K55-H55</f>
        <v>-31.25</v>
      </c>
      <c r="M55" s="24">
        <f>'Параметры'!$C$10*'Параметры'!$C$9*100/'Параметры'!$C$6/E55/'Параметры'!$C$8</f>
        <v>0.2119815668202765</v>
      </c>
    </row>
    <row r="56">
      <c r="A56" s="17" t="inlineStr">
        <is>
          <t>Е</t>
        </is>
      </c>
      <c r="B56" s="17" t="inlineStr">
        <is>
          <t>№8</t>
        </is>
      </c>
      <c r="C56" s="17" t="inlineStr">
        <is>
          <t>9</t>
        </is>
      </c>
      <c r="D56" s="18" t="n">
        <v>3240</v>
      </c>
      <c r="E56" s="19" t="n">
        <v>1087.4</v>
      </c>
      <c r="F56" s="20">
        <f>'Параметры'!$C$7</f>
        <v>0.5</v>
      </c>
      <c r="G56" s="21">
        <f>E56*F56*'Параметры'!$C$8</f>
        <v>543.7</v>
      </c>
      <c r="H56" s="21">
        <f>G56*'Параметры'!$C$6/100</f>
        <v>54.37</v>
      </c>
      <c r="I56" s="19">
        <f>H56/'Параметры'!$C$9</f>
        <v>2.3639130434782607</v>
      </c>
      <c r="J56" s="18">
        <f>ROUNDUP(H56/'Параметры'!$C$9,0)</f>
        <v>3</v>
      </c>
      <c r="K56" s="21">
        <f>'Параметры'!$C$10*'Параметры'!$C$9</f>
        <v>23</v>
      </c>
      <c r="L56" s="21">
        <f>K56-H56</f>
        <v>-31.369999999999997</v>
      </c>
      <c r="M56" s="20">
        <f>'Параметры'!$C$10*'Параметры'!$C$9*100/'Параметры'!$C$6/E56/'Параметры'!$C$8</f>
        <v>0.21151370240941694</v>
      </c>
    </row>
    <row r="57">
      <c r="A57" s="22" t="inlineStr">
        <is>
          <t>Е</t>
        </is>
      </c>
      <c r="B57" s="22" t="inlineStr">
        <is>
          <t>№8</t>
        </is>
      </c>
      <c r="C57" s="22" t="inlineStr">
        <is>
          <t>10</t>
        </is>
      </c>
      <c r="D57" s="13" t="n">
        <v>3456</v>
      </c>
      <c r="E57" s="23" t="n">
        <v>1086.2</v>
      </c>
      <c r="F57" s="24">
        <f>'Параметры'!$C$7</f>
        <v>0.5</v>
      </c>
      <c r="G57" s="25">
        <f>E57*F57*'Параметры'!$C$8</f>
        <v>543.1</v>
      </c>
      <c r="H57" s="25">
        <f>G57*'Параметры'!$C$6/100</f>
        <v>54.31</v>
      </c>
      <c r="I57" s="23">
        <f>H57/'Параметры'!$C$9</f>
        <v>2.361304347826087</v>
      </c>
      <c r="J57" s="13">
        <f>ROUNDUP(H57/'Параметры'!$C$9,0)</f>
        <v>3</v>
      </c>
      <c r="K57" s="25">
        <f>'Параметры'!$C$10*'Параметры'!$C$9</f>
        <v>23</v>
      </c>
      <c r="L57" s="25">
        <f>K57-H57</f>
        <v>-31.310000000000002</v>
      </c>
      <c r="M57" s="24">
        <f>'Параметры'!$C$10*'Параметры'!$C$9*100/'Параметры'!$C$6/E57/'Параметры'!$C$8</f>
        <v>0.21174737617381698</v>
      </c>
    </row>
    <row r="58">
      <c r="A58" s="17" t="inlineStr">
        <is>
          <t>А</t>
        </is>
      </c>
      <c r="B58" s="17" t="inlineStr">
        <is>
          <t>№9</t>
        </is>
      </c>
      <c r="C58" s="17" t="inlineStr">
        <is>
          <t>1</t>
        </is>
      </c>
      <c r="D58" s="18" t="n">
        <v>3456</v>
      </c>
      <c r="E58" s="19" t="n">
        <v>1114.5</v>
      </c>
      <c r="F58" s="20">
        <f>'Параметры'!$C$7</f>
        <v>0.5</v>
      </c>
      <c r="G58" s="21">
        <f>E58*F58*'Параметры'!$C$8</f>
        <v>557.25</v>
      </c>
      <c r="H58" s="21">
        <f>G58*'Параметры'!$C$6/100</f>
        <v>55.725</v>
      </c>
      <c r="I58" s="19">
        <f>H58/'Параметры'!$C$9</f>
        <v>2.4228260869565217</v>
      </c>
      <c r="J58" s="18">
        <f>ROUNDUP(H58/'Параметры'!$C$9,0)</f>
        <v>3</v>
      </c>
      <c r="K58" s="21">
        <f>'Параметры'!$C$10*'Параметры'!$C$9</f>
        <v>23</v>
      </c>
      <c r="L58" s="21">
        <f>K58-H58</f>
        <v>-32.725</v>
      </c>
      <c r="M58" s="20">
        <f>'Параметры'!$C$10*'Параметры'!$C$9*100/'Параметры'!$C$6/E58/'Параметры'!$C$8</f>
        <v>0.2063705697622252</v>
      </c>
    </row>
    <row r="59">
      <c r="A59" s="22" t="inlineStr">
        <is>
          <t>А</t>
        </is>
      </c>
      <c r="B59" s="22" t="inlineStr">
        <is>
          <t>№9</t>
        </is>
      </c>
      <c r="C59" s="22" t="inlineStr">
        <is>
          <t>2</t>
        </is>
      </c>
      <c r="D59" s="13" t="n">
        <v>3240</v>
      </c>
      <c r="E59" s="23" t="n">
        <v>1061.5</v>
      </c>
      <c r="F59" s="24">
        <f>'Параметры'!$C$7</f>
        <v>0.5</v>
      </c>
      <c r="G59" s="25">
        <f>E59*F59*'Параметры'!$C$8</f>
        <v>530.75</v>
      </c>
      <c r="H59" s="25">
        <f>G59*'Параметры'!$C$6/100</f>
        <v>53.075</v>
      </c>
      <c r="I59" s="23">
        <f>H59/'Параметры'!$C$9</f>
        <v>2.307608695652174</v>
      </c>
      <c r="J59" s="13">
        <f>ROUNDUP(H59/'Параметры'!$C$9,0)</f>
        <v>3</v>
      </c>
      <c r="K59" s="25">
        <f>'Параметры'!$C$10*'Параметры'!$C$9</f>
        <v>23</v>
      </c>
      <c r="L59" s="25">
        <f>K59-H59</f>
        <v>-30.075000000000003</v>
      </c>
      <c r="M59" s="24">
        <f>'Параметры'!$C$10*'Параметры'!$C$9*100/'Параметры'!$C$6/E59/'Параметры'!$C$8</f>
        <v>0.2166745171926519</v>
      </c>
    </row>
    <row r="60">
      <c r="A60" s="17" t="inlineStr">
        <is>
          <t>А</t>
        </is>
      </c>
      <c r="B60" s="17" t="inlineStr">
        <is>
          <t>№9</t>
        </is>
      </c>
      <c r="C60" s="17" t="inlineStr">
        <is>
          <t>3</t>
        </is>
      </c>
      <c r="D60" s="18" t="n">
        <v>3240</v>
      </c>
      <c r="E60" s="19" t="n">
        <v>1061.5</v>
      </c>
      <c r="F60" s="20">
        <f>'Параметры'!$C$7</f>
        <v>0.5</v>
      </c>
      <c r="G60" s="21">
        <f>E60*F60*'Параметры'!$C$8</f>
        <v>530.75</v>
      </c>
      <c r="H60" s="21">
        <f>G60*'Параметры'!$C$6/100</f>
        <v>53.075</v>
      </c>
      <c r="I60" s="19">
        <f>H60/'Параметры'!$C$9</f>
        <v>2.307608695652174</v>
      </c>
      <c r="J60" s="18">
        <f>ROUNDUP(H60/'Параметры'!$C$9,0)</f>
        <v>3</v>
      </c>
      <c r="K60" s="21">
        <f>'Параметры'!$C$10*'Параметры'!$C$9</f>
        <v>23</v>
      </c>
      <c r="L60" s="21">
        <f>K60-H60</f>
        <v>-30.075000000000003</v>
      </c>
      <c r="M60" s="20">
        <f>'Параметры'!$C$10*'Параметры'!$C$9*100/'Параметры'!$C$6/E60/'Параметры'!$C$8</f>
        <v>0.2166745171926519</v>
      </c>
    </row>
    <row r="61">
      <c r="A61" s="22" t="inlineStr">
        <is>
          <t>А</t>
        </is>
      </c>
      <c r="B61" s="22" t="inlineStr">
        <is>
          <t>№9</t>
        </is>
      </c>
      <c r="C61" s="22" t="inlineStr">
        <is>
          <t>4</t>
        </is>
      </c>
      <c r="D61" s="13" t="n">
        <v>3240</v>
      </c>
      <c r="E61" s="23" t="n">
        <v>1061.5</v>
      </c>
      <c r="F61" s="24">
        <f>'Параметры'!$C$7</f>
        <v>0.5</v>
      </c>
      <c r="G61" s="25">
        <f>E61*F61*'Параметры'!$C$8</f>
        <v>530.75</v>
      </c>
      <c r="H61" s="25">
        <f>G61*'Параметры'!$C$6/100</f>
        <v>53.075</v>
      </c>
      <c r="I61" s="23">
        <f>H61/'Параметры'!$C$9</f>
        <v>2.307608695652174</v>
      </c>
      <c r="J61" s="13">
        <f>ROUNDUP(H61/'Параметры'!$C$9,0)</f>
        <v>3</v>
      </c>
      <c r="K61" s="25">
        <f>'Параметры'!$C$10*'Параметры'!$C$9</f>
        <v>23</v>
      </c>
      <c r="L61" s="25">
        <f>K61-H61</f>
        <v>-30.075000000000003</v>
      </c>
      <c r="M61" s="24">
        <f>'Параметры'!$C$10*'Параметры'!$C$9*100/'Параметры'!$C$6/E61/'Параметры'!$C$8</f>
        <v>0.2166745171926519</v>
      </c>
    </row>
    <row r="62">
      <c r="A62" s="17" t="inlineStr">
        <is>
          <t>А</t>
        </is>
      </c>
      <c r="B62" s="17" t="inlineStr">
        <is>
          <t>№9</t>
        </is>
      </c>
      <c r="C62" s="17" t="inlineStr">
        <is>
          <t>5</t>
        </is>
      </c>
      <c r="D62" s="18" t="n">
        <v>3240</v>
      </c>
      <c r="E62" s="19" t="n">
        <v>1061.5</v>
      </c>
      <c r="F62" s="20">
        <f>'Параметры'!$C$7</f>
        <v>0.5</v>
      </c>
      <c r="G62" s="21">
        <f>E62*F62*'Параметры'!$C$8</f>
        <v>530.75</v>
      </c>
      <c r="H62" s="21">
        <f>G62*'Параметры'!$C$6/100</f>
        <v>53.075</v>
      </c>
      <c r="I62" s="19">
        <f>H62/'Параметры'!$C$9</f>
        <v>2.307608695652174</v>
      </c>
      <c r="J62" s="18">
        <f>ROUNDUP(H62/'Параметры'!$C$9,0)</f>
        <v>3</v>
      </c>
      <c r="K62" s="21">
        <f>'Параметры'!$C$10*'Параметры'!$C$9</f>
        <v>23</v>
      </c>
      <c r="L62" s="21">
        <f>K62-H62</f>
        <v>-30.075000000000003</v>
      </c>
      <c r="M62" s="20">
        <f>'Параметры'!$C$10*'Параметры'!$C$9*100/'Параметры'!$C$6/E62/'Параметры'!$C$8</f>
        <v>0.2166745171926519</v>
      </c>
    </row>
    <row r="63">
      <c r="A63" s="22" t="inlineStr">
        <is>
          <t>А</t>
        </is>
      </c>
      <c r="B63" s="22" t="inlineStr">
        <is>
          <t>№9</t>
        </is>
      </c>
      <c r="C63" s="22" t="inlineStr">
        <is>
          <t>6</t>
        </is>
      </c>
      <c r="D63" s="13" t="n">
        <v>3456</v>
      </c>
      <c r="E63" s="23" t="n">
        <v>1114.5</v>
      </c>
      <c r="F63" s="24">
        <f>'Параметры'!$C$7</f>
        <v>0.5</v>
      </c>
      <c r="G63" s="25">
        <f>E63*F63*'Параметры'!$C$8</f>
        <v>557.25</v>
      </c>
      <c r="H63" s="25">
        <f>G63*'Параметры'!$C$6/100</f>
        <v>55.725</v>
      </c>
      <c r="I63" s="23">
        <f>H63/'Параметры'!$C$9</f>
        <v>2.4228260869565217</v>
      </c>
      <c r="J63" s="13">
        <f>ROUNDUP(H63/'Параметры'!$C$9,0)</f>
        <v>3</v>
      </c>
      <c r="K63" s="25">
        <f>'Параметры'!$C$10*'Параметры'!$C$9</f>
        <v>23</v>
      </c>
      <c r="L63" s="25">
        <f>K63-H63</f>
        <v>-32.725</v>
      </c>
      <c r="M63" s="24">
        <f>'Параметры'!$C$10*'Параметры'!$C$9*100/'Параметры'!$C$6/E63/'Параметры'!$C$8</f>
        <v>0.2063705697622252</v>
      </c>
    </row>
    <row r="64">
      <c r="A64" s="17" t="inlineStr">
        <is>
          <t>А</t>
        </is>
      </c>
      <c r="B64" s="17" t="inlineStr">
        <is>
          <t>№9</t>
        </is>
      </c>
      <c r="C64" s="17" t="inlineStr">
        <is>
          <t>7</t>
        </is>
      </c>
      <c r="D64" s="18" t="n">
        <v>3240</v>
      </c>
      <c r="E64" s="19" t="n">
        <v>1098.2</v>
      </c>
      <c r="F64" s="20">
        <f>'Параметры'!$C$7</f>
        <v>0.5</v>
      </c>
      <c r="G64" s="21">
        <f>E64*F64*'Параметры'!$C$8</f>
        <v>549.1</v>
      </c>
      <c r="H64" s="21">
        <f>G64*'Параметры'!$C$6/100</f>
        <v>54.91</v>
      </c>
      <c r="I64" s="19">
        <f>H64/'Параметры'!$C$9</f>
        <v>2.387391304347826</v>
      </c>
      <c r="J64" s="18">
        <f>ROUNDUP(H64/'Параметры'!$C$9,0)</f>
        <v>3</v>
      </c>
      <c r="K64" s="21">
        <f>'Параметры'!$C$10*'Параметры'!$C$9</f>
        <v>23</v>
      </c>
      <c r="L64" s="21">
        <f>K64-H64</f>
        <v>-31.909999999999997</v>
      </c>
      <c r="M64" s="20">
        <f>'Параметры'!$C$10*'Параметры'!$C$9*100/'Параметры'!$C$6/E64/'Параметры'!$C$8</f>
        <v>0.20943361864869786</v>
      </c>
    </row>
    <row r="65">
      <c r="A65" s="22" t="inlineStr">
        <is>
          <t>А</t>
        </is>
      </c>
      <c r="B65" s="22" t="inlineStr">
        <is>
          <t>№9</t>
        </is>
      </c>
      <c r="C65" s="22" t="inlineStr">
        <is>
          <t>8</t>
        </is>
      </c>
      <c r="D65" s="13" t="n">
        <v>3240</v>
      </c>
      <c r="E65" s="23" t="n">
        <v>1098.2</v>
      </c>
      <c r="F65" s="24">
        <f>'Параметры'!$C$7</f>
        <v>0.5</v>
      </c>
      <c r="G65" s="25">
        <f>E65*F65*'Параметры'!$C$8</f>
        <v>549.1</v>
      </c>
      <c r="H65" s="25">
        <f>G65*'Параметры'!$C$6/100</f>
        <v>54.91</v>
      </c>
      <c r="I65" s="23">
        <f>H65/'Параметры'!$C$9</f>
        <v>2.387391304347826</v>
      </c>
      <c r="J65" s="13">
        <f>ROUNDUP(H65/'Параметры'!$C$9,0)</f>
        <v>3</v>
      </c>
      <c r="K65" s="25">
        <f>'Параметры'!$C$10*'Параметры'!$C$9</f>
        <v>23</v>
      </c>
      <c r="L65" s="25">
        <f>K65-H65</f>
        <v>-31.909999999999997</v>
      </c>
      <c r="M65" s="24">
        <f>'Параметры'!$C$10*'Параметры'!$C$9*100/'Параметры'!$C$6/E65/'Параметры'!$C$8</f>
        <v>0.20943361864869786</v>
      </c>
    </row>
    <row r="66">
      <c r="A66" s="17" t="inlineStr">
        <is>
          <t>А</t>
        </is>
      </c>
      <c r="B66" s="17" t="inlineStr">
        <is>
          <t>№9</t>
        </is>
      </c>
      <c r="C66" s="17" t="inlineStr">
        <is>
          <t>9</t>
        </is>
      </c>
      <c r="D66" s="18" t="n">
        <v>3240</v>
      </c>
      <c r="E66" s="19" t="n">
        <v>1098.2</v>
      </c>
      <c r="F66" s="20">
        <f>'Параметры'!$C$7</f>
        <v>0.5</v>
      </c>
      <c r="G66" s="21">
        <f>E66*F66*'Параметры'!$C$8</f>
        <v>549.1</v>
      </c>
      <c r="H66" s="21">
        <f>G66*'Параметры'!$C$6/100</f>
        <v>54.91</v>
      </c>
      <c r="I66" s="19">
        <f>H66/'Параметры'!$C$9</f>
        <v>2.387391304347826</v>
      </c>
      <c r="J66" s="18">
        <f>ROUNDUP(H66/'Параметры'!$C$9,0)</f>
        <v>3</v>
      </c>
      <c r="K66" s="21">
        <f>'Параметры'!$C$10*'Параметры'!$C$9</f>
        <v>23</v>
      </c>
      <c r="L66" s="21">
        <f>K66-H66</f>
        <v>-31.909999999999997</v>
      </c>
      <c r="M66" s="20">
        <f>'Параметры'!$C$10*'Параметры'!$C$9*100/'Параметры'!$C$6/E66/'Параметры'!$C$8</f>
        <v>0.20943361864869786</v>
      </c>
    </row>
    <row r="67">
      <c r="A67" s="22" t="inlineStr">
        <is>
          <t>А</t>
        </is>
      </c>
      <c r="B67" s="22" t="inlineStr">
        <is>
          <t>№9</t>
        </is>
      </c>
      <c r="C67" s="22" t="inlineStr">
        <is>
          <t>10</t>
        </is>
      </c>
      <c r="D67" s="13" t="n">
        <v>3240</v>
      </c>
      <c r="E67" s="23" t="n">
        <v>1098.2</v>
      </c>
      <c r="F67" s="24">
        <f>'Параметры'!$C$7</f>
        <v>0.5</v>
      </c>
      <c r="G67" s="25">
        <f>E67*F67*'Параметры'!$C$8</f>
        <v>549.1</v>
      </c>
      <c r="H67" s="25">
        <f>G67*'Параметры'!$C$6/100</f>
        <v>54.91</v>
      </c>
      <c r="I67" s="23">
        <f>H67/'Параметры'!$C$9</f>
        <v>2.387391304347826</v>
      </c>
      <c r="J67" s="13">
        <f>ROUNDUP(H67/'Параметры'!$C$9,0)</f>
        <v>3</v>
      </c>
      <c r="K67" s="25">
        <f>'Параметры'!$C$10*'Параметры'!$C$9</f>
        <v>23</v>
      </c>
      <c r="L67" s="25">
        <f>K67-H67</f>
        <v>-31.909999999999997</v>
      </c>
      <c r="M67" s="24">
        <f>'Параметры'!$C$10*'Параметры'!$C$9*100/'Параметры'!$C$6/E67/'Параметры'!$C$8</f>
        <v>0.20943361864869786</v>
      </c>
    </row>
    <row r="68">
      <c r="A68" s="17" t="inlineStr">
        <is>
          <t>Ж</t>
        </is>
      </c>
      <c r="B68" s="17" t="inlineStr">
        <is>
          <t>№10</t>
        </is>
      </c>
      <c r="C68" s="17" t="inlineStr">
        <is>
          <t>1</t>
        </is>
      </c>
      <c r="D68" s="18" t="n">
        <v>3456</v>
      </c>
      <c r="E68" s="19" t="n">
        <v>1122.9</v>
      </c>
      <c r="F68" s="20">
        <f>'Параметры'!$C$7</f>
        <v>0.5</v>
      </c>
      <c r="G68" s="21">
        <f>E68*F68*'Параметры'!$C$8</f>
        <v>561.45</v>
      </c>
      <c r="H68" s="21">
        <f>G68*'Параметры'!$C$6/100</f>
        <v>56.145</v>
      </c>
      <c r="I68" s="19">
        <f>H68/'Параметры'!$C$9</f>
        <v>2.4410869565217395</v>
      </c>
      <c r="J68" s="18">
        <f>ROUNDUP(H68/'Параметры'!$C$9,0)</f>
        <v>3</v>
      </c>
      <c r="K68" s="21">
        <f>'Параметры'!$C$10*'Параметры'!$C$9</f>
        <v>23</v>
      </c>
      <c r="L68" s="21">
        <f>K68-H68</f>
        <v>-33.145</v>
      </c>
      <c r="M68" s="20">
        <f>'Параметры'!$C$10*'Параметры'!$C$9*100/'Параметры'!$C$6/E68/'Параметры'!$C$8</f>
        <v>0.20482678778163682</v>
      </c>
    </row>
    <row r="69">
      <c r="A69" s="22" t="inlineStr">
        <is>
          <t>Ж</t>
        </is>
      </c>
      <c r="B69" s="22" t="inlineStr">
        <is>
          <t>№10</t>
        </is>
      </c>
      <c r="C69" s="22" t="inlineStr">
        <is>
          <t>2</t>
        </is>
      </c>
      <c r="D69" s="13" t="n">
        <v>3456</v>
      </c>
      <c r="E69" s="23" t="n">
        <v>1123</v>
      </c>
      <c r="F69" s="24">
        <f>'Параметры'!$C$7</f>
        <v>0.5</v>
      </c>
      <c r="G69" s="25">
        <f>E69*F69*'Параметры'!$C$8</f>
        <v>561.5</v>
      </c>
      <c r="H69" s="25">
        <f>G69*'Параметры'!$C$6/100</f>
        <v>56.15</v>
      </c>
      <c r="I69" s="23">
        <f>H69/'Параметры'!$C$9</f>
        <v>2.4413043478260867</v>
      </c>
      <c r="J69" s="13">
        <f>ROUNDUP(H69/'Параметры'!$C$9,0)</f>
        <v>3</v>
      </c>
      <c r="K69" s="25">
        <f>'Параметры'!$C$10*'Параметры'!$C$9</f>
        <v>23</v>
      </c>
      <c r="L69" s="25">
        <f>K69-H69</f>
        <v>-33.15</v>
      </c>
      <c r="M69" s="24">
        <f>'Параметры'!$C$10*'Параметры'!$C$9*100/'Параметры'!$C$6/E69/'Параметры'!$C$8</f>
        <v>0.20480854853072128</v>
      </c>
    </row>
    <row r="70">
      <c r="A70" s="17" t="inlineStr">
        <is>
          <t>Ж</t>
        </is>
      </c>
      <c r="B70" s="17" t="inlineStr">
        <is>
          <t>№10</t>
        </is>
      </c>
      <c r="C70" s="17" t="inlineStr">
        <is>
          <t>3</t>
        </is>
      </c>
      <c r="D70" s="18" t="n">
        <v>3456</v>
      </c>
      <c r="E70" s="19" t="n">
        <v>1123</v>
      </c>
      <c r="F70" s="20">
        <f>'Параметры'!$C$7</f>
        <v>0.5</v>
      </c>
      <c r="G70" s="21">
        <f>E70*F70*'Параметры'!$C$8</f>
        <v>561.5</v>
      </c>
      <c r="H70" s="21">
        <f>G70*'Параметры'!$C$6/100</f>
        <v>56.15</v>
      </c>
      <c r="I70" s="19">
        <f>H70/'Параметры'!$C$9</f>
        <v>2.4413043478260867</v>
      </c>
      <c r="J70" s="18">
        <f>ROUNDUP(H70/'Параметры'!$C$9,0)</f>
        <v>3</v>
      </c>
      <c r="K70" s="21">
        <f>'Параметры'!$C$10*'Параметры'!$C$9</f>
        <v>23</v>
      </c>
      <c r="L70" s="21">
        <f>K70-H70</f>
        <v>-33.15</v>
      </c>
      <c r="M70" s="20">
        <f>'Параметры'!$C$10*'Параметры'!$C$9*100/'Параметры'!$C$6/E70/'Параметры'!$C$8</f>
        <v>0.20480854853072128</v>
      </c>
    </row>
    <row r="71">
      <c r="A71" s="22" t="inlineStr">
        <is>
          <t>Ж</t>
        </is>
      </c>
      <c r="B71" s="22" t="inlineStr">
        <is>
          <t>№10</t>
        </is>
      </c>
      <c r="C71" s="22" t="inlineStr">
        <is>
          <t>4</t>
        </is>
      </c>
      <c r="D71" s="13" t="n">
        <v>3456</v>
      </c>
      <c r="E71" s="23" t="n">
        <v>1123</v>
      </c>
      <c r="F71" s="24">
        <f>'Параметры'!$C$7</f>
        <v>0.5</v>
      </c>
      <c r="G71" s="25">
        <f>E71*F71*'Параметры'!$C$8</f>
        <v>561.5</v>
      </c>
      <c r="H71" s="25">
        <f>G71*'Параметры'!$C$6/100</f>
        <v>56.15</v>
      </c>
      <c r="I71" s="23">
        <f>H71/'Параметры'!$C$9</f>
        <v>2.4413043478260867</v>
      </c>
      <c r="J71" s="13">
        <f>ROUNDUP(H71/'Параметры'!$C$9,0)</f>
        <v>3</v>
      </c>
      <c r="K71" s="25">
        <f>'Параметры'!$C$10*'Параметры'!$C$9</f>
        <v>23</v>
      </c>
      <c r="L71" s="25">
        <f>K71-H71</f>
        <v>-33.15</v>
      </c>
      <c r="M71" s="24">
        <f>'Параметры'!$C$10*'Параметры'!$C$9*100/'Параметры'!$C$6/E71/'Параметры'!$C$8</f>
        <v>0.20480854853072128</v>
      </c>
    </row>
    <row r="72">
      <c r="A72" s="17" t="inlineStr">
        <is>
          <t>Ж</t>
        </is>
      </c>
      <c r="B72" s="17" t="inlineStr">
        <is>
          <t>№10</t>
        </is>
      </c>
      <c r="C72" s="17" t="inlineStr">
        <is>
          <t>5</t>
        </is>
      </c>
      <c r="D72" s="18" t="n">
        <v>3456</v>
      </c>
      <c r="E72" s="19" t="n">
        <v>1123</v>
      </c>
      <c r="F72" s="20">
        <f>'Параметры'!$C$7</f>
        <v>0.5</v>
      </c>
      <c r="G72" s="21">
        <f>E72*F72*'Параметры'!$C$8</f>
        <v>561.5</v>
      </c>
      <c r="H72" s="21">
        <f>G72*'Параметры'!$C$6/100</f>
        <v>56.15</v>
      </c>
      <c r="I72" s="19">
        <f>H72/'Параметры'!$C$9</f>
        <v>2.4413043478260867</v>
      </c>
      <c r="J72" s="18">
        <f>ROUNDUP(H72/'Параметры'!$C$9,0)</f>
        <v>3</v>
      </c>
      <c r="K72" s="21">
        <f>'Параметры'!$C$10*'Параметры'!$C$9</f>
        <v>23</v>
      </c>
      <c r="L72" s="21">
        <f>K72-H72</f>
        <v>-33.15</v>
      </c>
      <c r="M72" s="20">
        <f>'Параметры'!$C$10*'Параметры'!$C$9*100/'Параметры'!$C$6/E72/'Параметры'!$C$8</f>
        <v>0.20480854853072128</v>
      </c>
    </row>
    <row r="73">
      <c r="A73" s="22" t="inlineStr">
        <is>
          <t>В</t>
        </is>
      </c>
      <c r="B73" s="22" t="inlineStr">
        <is>
          <t>№11</t>
        </is>
      </c>
      <c r="C73" s="22" t="inlineStr">
        <is>
          <t>1</t>
        </is>
      </c>
      <c r="D73" s="13" t="n">
        <v>6912</v>
      </c>
      <c r="E73" s="23" t="n">
        <v>1680</v>
      </c>
      <c r="F73" s="24">
        <f>'Параметры'!$C$7</f>
        <v>0.5</v>
      </c>
      <c r="G73" s="25">
        <f>E73*F73*'Параметры'!$C$8</f>
        <v>840</v>
      </c>
      <c r="H73" s="25">
        <f>G73*'Параметры'!$C$6/100</f>
        <v>84</v>
      </c>
      <c r="I73" s="23">
        <f>H73/'Параметры'!$C$9</f>
        <v>3.652173913043478</v>
      </c>
      <c r="J73" s="13">
        <f>ROUNDUP(H73/'Параметры'!$C$9,0)</f>
        <v>4</v>
      </c>
      <c r="K73" s="25">
        <f>'Параметры'!$C$10*'Параметры'!$C$9</f>
        <v>23</v>
      </c>
      <c r="L73" s="25">
        <f>K73-H73</f>
        <v>-61</v>
      </c>
      <c r="M73" s="24">
        <f>'Параметры'!$C$10*'Параметры'!$C$9*100/'Параметры'!$C$6/E73/'Параметры'!$C$8</f>
        <v>0.13690476190476192</v>
      </c>
    </row>
    <row r="74">
      <c r="A74" s="17" t="inlineStr">
        <is>
          <t>В</t>
        </is>
      </c>
      <c r="B74" s="17" t="inlineStr">
        <is>
          <t>№11</t>
        </is>
      </c>
      <c r="C74" s="17" t="inlineStr">
        <is>
          <t>2</t>
        </is>
      </c>
      <c r="D74" s="18" t="n">
        <v>6912</v>
      </c>
      <c r="E74" s="19" t="n">
        <v>1680</v>
      </c>
      <c r="F74" s="20">
        <f>'Параметры'!$C$7</f>
        <v>0.5</v>
      </c>
      <c r="G74" s="21">
        <f>E74*F74*'Параметры'!$C$8</f>
        <v>840</v>
      </c>
      <c r="H74" s="21">
        <f>G74*'Параметры'!$C$6/100</f>
        <v>84</v>
      </c>
      <c r="I74" s="19">
        <f>H74/'Параметры'!$C$9</f>
        <v>3.652173913043478</v>
      </c>
      <c r="J74" s="18">
        <f>ROUNDUP(H74/'Параметры'!$C$9,0)</f>
        <v>4</v>
      </c>
      <c r="K74" s="21">
        <f>'Параметры'!$C$10*'Параметры'!$C$9</f>
        <v>23</v>
      </c>
      <c r="L74" s="21">
        <f>K74-H74</f>
        <v>-61</v>
      </c>
      <c r="M74" s="20">
        <f>'Параметры'!$C$10*'Параметры'!$C$9*100/'Параметры'!$C$6/E74/'Параметры'!$C$8</f>
        <v>0.13690476190476192</v>
      </c>
    </row>
    <row r="75">
      <c r="A75" s="22" t="inlineStr">
        <is>
          <t>В</t>
        </is>
      </c>
      <c r="B75" s="22" t="inlineStr">
        <is>
          <t>№11</t>
        </is>
      </c>
      <c r="C75" s="22" t="inlineStr">
        <is>
          <t>3</t>
        </is>
      </c>
      <c r="D75" s="13" t="n">
        <v>6912</v>
      </c>
      <c r="E75" s="23" t="n">
        <v>1680</v>
      </c>
      <c r="F75" s="24">
        <f>'Параметры'!$C$7</f>
        <v>0.5</v>
      </c>
      <c r="G75" s="25">
        <f>E75*F75*'Параметры'!$C$8</f>
        <v>840</v>
      </c>
      <c r="H75" s="25">
        <f>G75*'Параметры'!$C$6/100</f>
        <v>84</v>
      </c>
      <c r="I75" s="23">
        <f>H75/'Параметры'!$C$9</f>
        <v>3.652173913043478</v>
      </c>
      <c r="J75" s="13">
        <f>ROUNDUP(H75/'Параметры'!$C$9,0)</f>
        <v>4</v>
      </c>
      <c r="K75" s="25">
        <f>'Параметры'!$C$10*'Параметры'!$C$9</f>
        <v>23</v>
      </c>
      <c r="L75" s="25">
        <f>K75-H75</f>
        <v>-61</v>
      </c>
      <c r="M75" s="24">
        <f>'Параметры'!$C$10*'Параметры'!$C$9*100/'Параметры'!$C$6/E75/'Параметры'!$C$8</f>
        <v>0.13690476190476192</v>
      </c>
    </row>
    <row r="76">
      <c r="A76" s="17" t="inlineStr">
        <is>
          <t>В</t>
        </is>
      </c>
      <c r="B76" s="17" t="inlineStr">
        <is>
          <t>№11</t>
        </is>
      </c>
      <c r="C76" s="17" t="inlineStr">
        <is>
          <t>4</t>
        </is>
      </c>
      <c r="D76" s="18" t="n">
        <v>6912</v>
      </c>
      <c r="E76" s="19" t="n">
        <v>1610</v>
      </c>
      <c r="F76" s="20">
        <f>'Параметры'!$C$7</f>
        <v>0.5</v>
      </c>
      <c r="G76" s="21">
        <f>E76*F76*'Параметры'!$C$8</f>
        <v>805</v>
      </c>
      <c r="H76" s="21">
        <f>G76*'Параметры'!$C$6/100</f>
        <v>80.5</v>
      </c>
      <c r="I76" s="19">
        <f>H76/'Параметры'!$C$9</f>
        <v>3.5</v>
      </c>
      <c r="J76" s="18">
        <f>ROUNDUP(H76/'Параметры'!$C$9,0)</f>
        <v>4</v>
      </c>
      <c r="K76" s="21">
        <f>'Параметры'!$C$10*'Параметры'!$C$9</f>
        <v>23</v>
      </c>
      <c r="L76" s="21">
        <f>K76-H76</f>
        <v>-57.5</v>
      </c>
      <c r="M76" s="20">
        <f>'Параметры'!$C$10*'Параметры'!$C$9*100/'Параметры'!$C$6/E76/'Параметры'!$C$8</f>
        <v>0.14285714285714285</v>
      </c>
    </row>
    <row r="77">
      <c r="A77" s="22" t="inlineStr">
        <is>
          <t>В</t>
        </is>
      </c>
      <c r="B77" s="22" t="inlineStr">
        <is>
          <t>№11</t>
        </is>
      </c>
      <c r="C77" s="22" t="inlineStr">
        <is>
          <t>5</t>
        </is>
      </c>
      <c r="D77" s="13" t="n">
        <v>6912</v>
      </c>
      <c r="E77" s="23" t="n">
        <v>1610</v>
      </c>
      <c r="F77" s="24">
        <f>'Параметры'!$C$7</f>
        <v>0.5</v>
      </c>
      <c r="G77" s="25">
        <f>E77*F77*'Параметры'!$C$8</f>
        <v>805</v>
      </c>
      <c r="H77" s="25">
        <f>G77*'Параметры'!$C$6/100</f>
        <v>80.5</v>
      </c>
      <c r="I77" s="23">
        <f>H77/'Параметры'!$C$9</f>
        <v>3.5</v>
      </c>
      <c r="J77" s="13">
        <f>ROUNDUP(H77/'Параметры'!$C$9,0)</f>
        <v>4</v>
      </c>
      <c r="K77" s="25">
        <f>'Параметры'!$C$10*'Параметры'!$C$9</f>
        <v>23</v>
      </c>
      <c r="L77" s="25">
        <f>K77-H77</f>
        <v>-57.5</v>
      </c>
      <c r="M77" s="24">
        <f>'Параметры'!$C$10*'Параметры'!$C$9*100/'Параметры'!$C$6/E77/'Параметры'!$C$8</f>
        <v>0.14285714285714285</v>
      </c>
    </row>
    <row r="78">
      <c r="A78" s="17" t="inlineStr">
        <is>
          <t>В</t>
        </is>
      </c>
      <c r="B78" s="17" t="inlineStr">
        <is>
          <t>№11</t>
        </is>
      </c>
      <c r="C78" s="17" t="inlineStr">
        <is>
          <t>6</t>
        </is>
      </c>
      <c r="D78" s="18" t="n">
        <v>6912</v>
      </c>
      <c r="E78" s="19" t="n">
        <v>1610</v>
      </c>
      <c r="F78" s="20">
        <f>'Параметры'!$C$7</f>
        <v>0.5</v>
      </c>
      <c r="G78" s="21">
        <f>E78*F78*'Параметры'!$C$8</f>
        <v>805</v>
      </c>
      <c r="H78" s="21">
        <f>G78*'Параметры'!$C$6/100</f>
        <v>80.5</v>
      </c>
      <c r="I78" s="19">
        <f>H78/'Параметры'!$C$9</f>
        <v>3.5</v>
      </c>
      <c r="J78" s="18">
        <f>ROUNDUP(H78/'Параметры'!$C$9,0)</f>
        <v>4</v>
      </c>
      <c r="K78" s="21">
        <f>'Параметры'!$C$10*'Параметры'!$C$9</f>
        <v>23</v>
      </c>
      <c r="L78" s="21">
        <f>K78-H78</f>
        <v>-57.5</v>
      </c>
      <c r="M78" s="20">
        <f>'Параметры'!$C$10*'Параметры'!$C$9*100/'Параметры'!$C$6/E78/'Параметры'!$C$8</f>
        <v>0.14285714285714285</v>
      </c>
    </row>
    <row r="79">
      <c r="A79" s="22" t="inlineStr">
        <is>
          <t>В</t>
        </is>
      </c>
      <c r="B79" s="22" t="inlineStr">
        <is>
          <t>№11</t>
        </is>
      </c>
      <c r="C79" s="22" t="inlineStr">
        <is>
          <t>7</t>
        </is>
      </c>
      <c r="D79" s="13" t="n">
        <v>6912</v>
      </c>
      <c r="E79" s="23" t="n">
        <v>1620</v>
      </c>
      <c r="F79" s="24">
        <f>'Параметры'!$C$7</f>
        <v>0.5</v>
      </c>
      <c r="G79" s="25">
        <f>E79*F79*'Параметры'!$C$8</f>
        <v>810</v>
      </c>
      <c r="H79" s="25">
        <f>G79*'Параметры'!$C$6/100</f>
        <v>81</v>
      </c>
      <c r="I79" s="23">
        <f>H79/'Параметры'!$C$9</f>
        <v>3.5217391304347827</v>
      </c>
      <c r="J79" s="13">
        <f>ROUNDUP(H79/'Параметры'!$C$9,0)</f>
        <v>4</v>
      </c>
      <c r="K79" s="25">
        <f>'Параметры'!$C$10*'Параметры'!$C$9</f>
        <v>23</v>
      </c>
      <c r="L79" s="25">
        <f>K79-H79</f>
        <v>-58</v>
      </c>
      <c r="M79" s="24">
        <f>'Параметры'!$C$10*'Параметры'!$C$9*100/'Параметры'!$C$6/E79/'Параметры'!$C$8</f>
        <v>0.1419753086419753</v>
      </c>
    </row>
    <row r="80">
      <c r="A80" s="17" t="inlineStr">
        <is>
          <t>В</t>
        </is>
      </c>
      <c r="B80" s="17" t="inlineStr">
        <is>
          <t>№11</t>
        </is>
      </c>
      <c r="C80" s="17" t="inlineStr">
        <is>
          <t>8</t>
        </is>
      </c>
      <c r="D80" s="18" t="n">
        <v>6912</v>
      </c>
      <c r="E80" s="19" t="n">
        <v>1620</v>
      </c>
      <c r="F80" s="20">
        <f>'Параметры'!$C$7</f>
        <v>0.5</v>
      </c>
      <c r="G80" s="21">
        <f>E80*F80*'Параметры'!$C$8</f>
        <v>810</v>
      </c>
      <c r="H80" s="21">
        <f>G80*'Параметры'!$C$6/100</f>
        <v>81</v>
      </c>
      <c r="I80" s="19">
        <f>H80/'Параметры'!$C$9</f>
        <v>3.5217391304347827</v>
      </c>
      <c r="J80" s="18">
        <f>ROUNDUP(H80/'Параметры'!$C$9,0)</f>
        <v>4</v>
      </c>
      <c r="K80" s="21">
        <f>'Параметры'!$C$10*'Параметры'!$C$9</f>
        <v>23</v>
      </c>
      <c r="L80" s="21">
        <f>K80-H80</f>
        <v>-58</v>
      </c>
      <c r="M80" s="20">
        <f>'Параметры'!$C$10*'Параметры'!$C$9*100/'Параметры'!$C$6/E80/'Параметры'!$C$8</f>
        <v>0.1419753086419753</v>
      </c>
    </row>
    <row r="81">
      <c r="A81" s="22" t="inlineStr">
        <is>
          <t>В</t>
        </is>
      </c>
      <c r="B81" s="22" t="inlineStr">
        <is>
          <t>№11</t>
        </is>
      </c>
      <c r="C81" s="22" t="inlineStr">
        <is>
          <t>9</t>
        </is>
      </c>
      <c r="D81" s="13" t="n">
        <v>6912</v>
      </c>
      <c r="E81" s="23" t="n">
        <v>1620</v>
      </c>
      <c r="F81" s="24">
        <f>'Параметры'!$C$7</f>
        <v>0.5</v>
      </c>
      <c r="G81" s="25">
        <f>E81*F81*'Параметры'!$C$8</f>
        <v>810</v>
      </c>
      <c r="H81" s="25">
        <f>G81*'Параметры'!$C$6/100</f>
        <v>81</v>
      </c>
      <c r="I81" s="23">
        <f>H81/'Параметры'!$C$9</f>
        <v>3.5217391304347827</v>
      </c>
      <c r="J81" s="13">
        <f>ROUNDUP(H81/'Параметры'!$C$9,0)</f>
        <v>4</v>
      </c>
      <c r="K81" s="25">
        <f>'Параметры'!$C$10*'Параметры'!$C$9</f>
        <v>23</v>
      </c>
      <c r="L81" s="25">
        <f>K81-H81</f>
        <v>-58</v>
      </c>
      <c r="M81" s="24">
        <f>'Параметры'!$C$10*'Параметры'!$C$9*100/'Параметры'!$C$6/E81/'Параметры'!$C$8</f>
        <v>0.1419753086419753</v>
      </c>
    </row>
    <row r="82">
      <c r="A82" s="17" t="inlineStr">
        <is>
          <t>В</t>
        </is>
      </c>
      <c r="B82" s="17" t="inlineStr">
        <is>
          <t>№11</t>
        </is>
      </c>
      <c r="C82" s="17" t="inlineStr">
        <is>
          <t>10</t>
        </is>
      </c>
      <c r="D82" s="18" t="n">
        <v>6912</v>
      </c>
      <c r="E82" s="19" t="n">
        <v>1620</v>
      </c>
      <c r="F82" s="20">
        <f>'Параметры'!$C$7</f>
        <v>0.5</v>
      </c>
      <c r="G82" s="21">
        <f>E82*F82*'Параметры'!$C$8</f>
        <v>810</v>
      </c>
      <c r="H82" s="21">
        <f>G82*'Параметры'!$C$6/100</f>
        <v>81</v>
      </c>
      <c r="I82" s="19">
        <f>H82/'Параметры'!$C$9</f>
        <v>3.5217391304347827</v>
      </c>
      <c r="J82" s="18">
        <f>ROUNDUP(H82/'Параметры'!$C$9,0)</f>
        <v>4</v>
      </c>
      <c r="K82" s="21">
        <f>'Параметры'!$C$10*'Параметры'!$C$9</f>
        <v>23</v>
      </c>
      <c r="L82" s="21">
        <f>K82-H82</f>
        <v>-58</v>
      </c>
      <c r="M82" s="20">
        <f>'Параметры'!$C$10*'Параметры'!$C$9*100/'Параметры'!$C$6/E82/'Параметры'!$C$8</f>
        <v>0.1419753086419753</v>
      </c>
    </row>
    <row r="83">
      <c r="A83" s="22" t="inlineStr">
        <is>
          <t>В</t>
        </is>
      </c>
      <c r="B83" s="22" t="inlineStr">
        <is>
          <t>№11</t>
        </is>
      </c>
      <c r="C83" s="22" t="inlineStr">
        <is>
          <t>11</t>
        </is>
      </c>
      <c r="D83" s="13" t="n">
        <v>6912</v>
      </c>
      <c r="E83" s="23" t="n">
        <v>1620</v>
      </c>
      <c r="F83" s="24">
        <f>'Параметры'!$C$7</f>
        <v>0.5</v>
      </c>
      <c r="G83" s="25">
        <f>E83*F83*'Параметры'!$C$8</f>
        <v>810</v>
      </c>
      <c r="H83" s="25">
        <f>G83*'Параметры'!$C$6/100</f>
        <v>81</v>
      </c>
      <c r="I83" s="23">
        <f>H83/'Параметры'!$C$9</f>
        <v>3.5217391304347827</v>
      </c>
      <c r="J83" s="13">
        <f>ROUNDUP(H83/'Параметры'!$C$9,0)</f>
        <v>4</v>
      </c>
      <c r="K83" s="25">
        <f>'Параметры'!$C$10*'Параметры'!$C$9</f>
        <v>23</v>
      </c>
      <c r="L83" s="25">
        <f>K83-H83</f>
        <v>-58</v>
      </c>
      <c r="M83" s="24">
        <f>'Параметры'!$C$10*'Параметры'!$C$9*100/'Параметры'!$C$6/E83/'Параметры'!$C$8</f>
        <v>0.1419753086419753</v>
      </c>
    </row>
    <row r="84">
      <c r="A84" s="17" t="inlineStr">
        <is>
          <t>В</t>
        </is>
      </c>
      <c r="B84" s="17" t="inlineStr">
        <is>
          <t>№11</t>
        </is>
      </c>
      <c r="C84" s="17" t="inlineStr">
        <is>
          <t>12</t>
        </is>
      </c>
      <c r="D84" s="18" t="n">
        <v>6912</v>
      </c>
      <c r="E84" s="19" t="n">
        <v>1620</v>
      </c>
      <c r="F84" s="20">
        <f>'Параметры'!$C$7</f>
        <v>0.5</v>
      </c>
      <c r="G84" s="21">
        <f>E84*F84*'Параметры'!$C$8</f>
        <v>810</v>
      </c>
      <c r="H84" s="21">
        <f>G84*'Параметры'!$C$6/100</f>
        <v>81</v>
      </c>
      <c r="I84" s="19">
        <f>H84/'Параметры'!$C$9</f>
        <v>3.5217391304347827</v>
      </c>
      <c r="J84" s="18">
        <f>ROUNDUP(H84/'Параметры'!$C$9,0)</f>
        <v>4</v>
      </c>
      <c r="K84" s="21">
        <f>'Параметры'!$C$10*'Параметры'!$C$9</f>
        <v>23</v>
      </c>
      <c r="L84" s="21">
        <f>K84-H84</f>
        <v>-58</v>
      </c>
      <c r="M84" s="20">
        <f>'Параметры'!$C$10*'Параметры'!$C$9*100/'Параметры'!$C$6/E84/'Параметры'!$C$8</f>
        <v>0.1419753086419753</v>
      </c>
    </row>
    <row r="85">
      <c r="A85" s="22" t="inlineStr">
        <is>
          <t>В</t>
        </is>
      </c>
      <c r="B85" s="22" t="inlineStr">
        <is>
          <t>№11</t>
        </is>
      </c>
      <c r="C85" s="22" t="inlineStr">
        <is>
          <t>13</t>
        </is>
      </c>
      <c r="D85" s="13" t="n">
        <v>7560</v>
      </c>
      <c r="E85" s="23" t="n">
        <v>1680</v>
      </c>
      <c r="F85" s="24">
        <f>'Параметры'!$C$7</f>
        <v>0.5</v>
      </c>
      <c r="G85" s="25">
        <f>E85*F85*'Параметры'!$C$8</f>
        <v>840</v>
      </c>
      <c r="H85" s="25">
        <f>G85*'Параметры'!$C$6/100</f>
        <v>84</v>
      </c>
      <c r="I85" s="23">
        <f>H85/'Параметры'!$C$9</f>
        <v>3.652173913043478</v>
      </c>
      <c r="J85" s="13">
        <f>ROUNDUP(H85/'Параметры'!$C$9,0)</f>
        <v>4</v>
      </c>
      <c r="K85" s="25">
        <f>'Параметры'!$C$10*'Параметры'!$C$9</f>
        <v>23</v>
      </c>
      <c r="L85" s="25">
        <f>K85-H85</f>
        <v>-61</v>
      </c>
      <c r="M85" s="24">
        <f>'Параметры'!$C$10*'Параметры'!$C$9*100/'Параметры'!$C$6/E85/'Параметры'!$C$8</f>
        <v>0.13690476190476192</v>
      </c>
    </row>
    <row r="86">
      <c r="A86" s="17" t="inlineStr">
        <is>
          <t>В</t>
        </is>
      </c>
      <c r="B86" s="17" t="inlineStr">
        <is>
          <t>№11</t>
        </is>
      </c>
      <c r="C86" s="17" t="inlineStr">
        <is>
          <t>14</t>
        </is>
      </c>
      <c r="D86" s="18" t="n">
        <v>7560</v>
      </c>
      <c r="E86" s="19" t="n">
        <v>1680</v>
      </c>
      <c r="F86" s="20">
        <f>'Параметры'!$C$7</f>
        <v>0.5</v>
      </c>
      <c r="G86" s="21">
        <f>E86*F86*'Параметры'!$C$8</f>
        <v>840</v>
      </c>
      <c r="H86" s="21">
        <f>G86*'Параметры'!$C$6/100</f>
        <v>84</v>
      </c>
      <c r="I86" s="19">
        <f>H86/'Параметры'!$C$9</f>
        <v>3.652173913043478</v>
      </c>
      <c r="J86" s="18">
        <f>ROUNDUP(H86/'Параметры'!$C$9,0)</f>
        <v>4</v>
      </c>
      <c r="K86" s="21">
        <f>'Параметры'!$C$10*'Параметры'!$C$9</f>
        <v>23</v>
      </c>
      <c r="L86" s="21">
        <f>K86-H86</f>
        <v>-61</v>
      </c>
      <c r="M86" s="20">
        <f>'Параметры'!$C$10*'Параметры'!$C$9*100/'Параметры'!$C$6/E86/'Параметры'!$C$8</f>
        <v>0.13690476190476192</v>
      </c>
    </row>
    <row r="87">
      <c r="A87" s="22" t="inlineStr">
        <is>
          <t>В</t>
        </is>
      </c>
      <c r="B87" s="22" t="inlineStr">
        <is>
          <t>№11</t>
        </is>
      </c>
      <c r="C87" s="22" t="inlineStr">
        <is>
          <t>15</t>
        </is>
      </c>
      <c r="D87" s="13" t="n">
        <v>7560</v>
      </c>
      <c r="E87" s="23" t="n">
        <v>1680</v>
      </c>
      <c r="F87" s="24">
        <f>'Параметры'!$C$7</f>
        <v>0.5</v>
      </c>
      <c r="G87" s="25">
        <f>E87*F87*'Параметры'!$C$8</f>
        <v>840</v>
      </c>
      <c r="H87" s="25">
        <f>G87*'Параметры'!$C$6/100</f>
        <v>84</v>
      </c>
      <c r="I87" s="23">
        <f>H87/'Параметры'!$C$9</f>
        <v>3.652173913043478</v>
      </c>
      <c r="J87" s="13">
        <f>ROUNDUP(H87/'Параметры'!$C$9,0)</f>
        <v>4</v>
      </c>
      <c r="K87" s="25">
        <f>'Параметры'!$C$10*'Параметры'!$C$9</f>
        <v>23</v>
      </c>
      <c r="L87" s="25">
        <f>K87-H87</f>
        <v>-61</v>
      </c>
      <c r="M87" s="24">
        <f>'Параметры'!$C$10*'Параметры'!$C$9*100/'Параметры'!$C$6/E87/'Параметры'!$C$8</f>
        <v>0.13690476190476192</v>
      </c>
    </row>
    <row r="88">
      <c r="A88" s="17" t="inlineStr">
        <is>
          <t>БП-12</t>
        </is>
      </c>
      <c r="B88" s="17" t="inlineStr">
        <is>
          <t>№12</t>
        </is>
      </c>
      <c r="C88" s="17" t="inlineStr">
        <is>
          <t>1</t>
        </is>
      </c>
      <c r="D88" s="18" t="n">
        <v>7560</v>
      </c>
      <c r="E88" s="19" t="n">
        <v>1670</v>
      </c>
      <c r="F88" s="20">
        <f>'Параметры'!$C$7</f>
        <v>0.5</v>
      </c>
      <c r="G88" s="21">
        <f>E88*F88*'Параметры'!$C$8</f>
        <v>835</v>
      </c>
      <c r="H88" s="21">
        <f>G88*'Параметры'!$C$6/100</f>
        <v>83.5</v>
      </c>
      <c r="I88" s="19">
        <f>H88/'Параметры'!$C$9</f>
        <v>3.630434782608696</v>
      </c>
      <c r="J88" s="18">
        <f>ROUNDUP(H88/'Параметры'!$C$9,0)</f>
        <v>4</v>
      </c>
      <c r="K88" s="21">
        <f>'Параметры'!$C$10*'Параметры'!$C$9</f>
        <v>23</v>
      </c>
      <c r="L88" s="21">
        <f>K88-H88</f>
        <v>-60.5</v>
      </c>
      <c r="M88" s="20">
        <f>'Параметры'!$C$10*'Параметры'!$C$9*100/'Параметры'!$C$6/E88/'Параметры'!$C$8</f>
        <v>0.1377245508982036</v>
      </c>
    </row>
    <row r="89">
      <c r="A89" s="22" t="inlineStr">
        <is>
          <t>БП-12</t>
        </is>
      </c>
      <c r="B89" s="22" t="inlineStr">
        <is>
          <t>№12</t>
        </is>
      </c>
      <c r="C89" s="22" t="inlineStr">
        <is>
          <t>2</t>
        </is>
      </c>
      <c r="D89" s="13" t="n">
        <v>7560</v>
      </c>
      <c r="E89" s="23" t="n">
        <v>1670</v>
      </c>
      <c r="F89" s="24">
        <f>'Параметры'!$C$7</f>
        <v>0.5</v>
      </c>
      <c r="G89" s="25">
        <f>E89*F89*'Параметры'!$C$8</f>
        <v>835</v>
      </c>
      <c r="H89" s="25">
        <f>G89*'Параметры'!$C$6/100</f>
        <v>83.5</v>
      </c>
      <c r="I89" s="23">
        <f>H89/'Параметры'!$C$9</f>
        <v>3.630434782608696</v>
      </c>
      <c r="J89" s="13">
        <f>ROUNDUP(H89/'Параметры'!$C$9,0)</f>
        <v>4</v>
      </c>
      <c r="K89" s="25">
        <f>'Параметры'!$C$10*'Параметры'!$C$9</f>
        <v>23</v>
      </c>
      <c r="L89" s="25">
        <f>K89-H89</f>
        <v>-60.5</v>
      </c>
      <c r="M89" s="24">
        <f>'Параметры'!$C$10*'Параметры'!$C$9*100/'Параметры'!$C$6/E89/'Параметры'!$C$8</f>
        <v>0.1377245508982036</v>
      </c>
    </row>
    <row r="90">
      <c r="A90" s="17" t="inlineStr">
        <is>
          <t>БП-12</t>
        </is>
      </c>
      <c r="B90" s="17" t="inlineStr">
        <is>
          <t>№12</t>
        </is>
      </c>
      <c r="C90" s="17" t="inlineStr">
        <is>
          <t>3</t>
        </is>
      </c>
      <c r="D90" s="18" t="n">
        <v>7560</v>
      </c>
      <c r="E90" s="19" t="n">
        <v>1670</v>
      </c>
      <c r="F90" s="20">
        <f>'Параметры'!$C$7</f>
        <v>0.5</v>
      </c>
      <c r="G90" s="21">
        <f>E90*F90*'Параметры'!$C$8</f>
        <v>835</v>
      </c>
      <c r="H90" s="21">
        <f>G90*'Параметры'!$C$6/100</f>
        <v>83.5</v>
      </c>
      <c r="I90" s="19">
        <f>H90/'Параметры'!$C$9</f>
        <v>3.630434782608696</v>
      </c>
      <c r="J90" s="18">
        <f>ROUNDUP(H90/'Параметры'!$C$9,0)</f>
        <v>4</v>
      </c>
      <c r="K90" s="21">
        <f>'Параметры'!$C$10*'Параметры'!$C$9</f>
        <v>23</v>
      </c>
      <c r="L90" s="21">
        <f>K90-H90</f>
        <v>-60.5</v>
      </c>
      <c r="M90" s="20">
        <f>'Параметры'!$C$10*'Параметры'!$C$9*100/'Параметры'!$C$6/E90/'Параметры'!$C$8</f>
        <v>0.1377245508982036</v>
      </c>
    </row>
    <row r="91">
      <c r="A91" s="22" t="inlineStr">
        <is>
          <t>БП-12</t>
        </is>
      </c>
      <c r="B91" s="22" t="inlineStr">
        <is>
          <t>№12</t>
        </is>
      </c>
      <c r="C91" s="22" t="inlineStr">
        <is>
          <t>4</t>
        </is>
      </c>
      <c r="D91" s="13" t="n">
        <v>7560</v>
      </c>
      <c r="E91" s="23" t="n">
        <v>1670</v>
      </c>
      <c r="F91" s="24">
        <f>'Параметры'!$C$7</f>
        <v>0.5</v>
      </c>
      <c r="G91" s="25">
        <f>E91*F91*'Параметры'!$C$8</f>
        <v>835</v>
      </c>
      <c r="H91" s="25">
        <f>G91*'Параметры'!$C$6/100</f>
        <v>83.5</v>
      </c>
      <c r="I91" s="23">
        <f>H91/'Параметры'!$C$9</f>
        <v>3.630434782608696</v>
      </c>
      <c r="J91" s="13">
        <f>ROUNDUP(H91/'Параметры'!$C$9,0)</f>
        <v>4</v>
      </c>
      <c r="K91" s="25">
        <f>'Параметры'!$C$10*'Параметры'!$C$9</f>
        <v>23</v>
      </c>
      <c r="L91" s="25">
        <f>K91-H91</f>
        <v>-60.5</v>
      </c>
      <c r="M91" s="24">
        <f>'Параметры'!$C$10*'Параметры'!$C$9*100/'Параметры'!$C$6/E91/'Параметры'!$C$8</f>
        <v>0.1377245508982036</v>
      </c>
    </row>
    <row r="92">
      <c r="A92" s="17" t="inlineStr">
        <is>
          <t>БП-12</t>
        </is>
      </c>
      <c r="B92" s="17" t="inlineStr">
        <is>
          <t>№12</t>
        </is>
      </c>
      <c r="C92" s="17" t="inlineStr">
        <is>
          <t>5</t>
        </is>
      </c>
      <c r="D92" s="18" t="n">
        <v>7560</v>
      </c>
      <c r="E92" s="19" t="n">
        <v>1670</v>
      </c>
      <c r="F92" s="20">
        <f>'Параметры'!$C$7</f>
        <v>0.5</v>
      </c>
      <c r="G92" s="21">
        <f>E92*F92*'Параметры'!$C$8</f>
        <v>835</v>
      </c>
      <c r="H92" s="21">
        <f>G92*'Параметры'!$C$6/100</f>
        <v>83.5</v>
      </c>
      <c r="I92" s="19">
        <f>H92/'Параметры'!$C$9</f>
        <v>3.630434782608696</v>
      </c>
      <c r="J92" s="18">
        <f>ROUNDUP(H92/'Параметры'!$C$9,0)</f>
        <v>4</v>
      </c>
      <c r="K92" s="21">
        <f>'Параметры'!$C$10*'Параметры'!$C$9</f>
        <v>23</v>
      </c>
      <c r="L92" s="21">
        <f>K92-H92</f>
        <v>-60.5</v>
      </c>
      <c r="M92" s="20">
        <f>'Параметры'!$C$10*'Параметры'!$C$9*100/'Параметры'!$C$6/E92/'Параметры'!$C$8</f>
        <v>0.1377245508982036</v>
      </c>
    </row>
    <row r="93">
      <c r="A93" s="22" t="inlineStr">
        <is>
          <t>БП-12</t>
        </is>
      </c>
      <c r="B93" s="22" t="inlineStr">
        <is>
          <t>№12</t>
        </is>
      </c>
      <c r="C93" s="22" t="inlineStr">
        <is>
          <t>6</t>
        </is>
      </c>
      <c r="D93" s="13" t="n">
        <v>7560</v>
      </c>
      <c r="E93" s="23" t="n">
        <v>1670</v>
      </c>
      <c r="F93" s="24">
        <f>'Параметры'!$C$7</f>
        <v>0.5</v>
      </c>
      <c r="G93" s="25">
        <f>E93*F93*'Параметры'!$C$8</f>
        <v>835</v>
      </c>
      <c r="H93" s="25">
        <f>G93*'Параметры'!$C$6/100</f>
        <v>83.5</v>
      </c>
      <c r="I93" s="23">
        <f>H93/'Параметры'!$C$9</f>
        <v>3.630434782608696</v>
      </c>
      <c r="J93" s="13">
        <f>ROUNDUP(H93/'Параметры'!$C$9,0)</f>
        <v>4</v>
      </c>
      <c r="K93" s="25">
        <f>'Параметры'!$C$10*'Параметры'!$C$9</f>
        <v>23</v>
      </c>
      <c r="L93" s="25">
        <f>K93-H93</f>
        <v>-60.5</v>
      </c>
      <c r="M93" s="24">
        <f>'Параметры'!$C$10*'Параметры'!$C$9*100/'Параметры'!$C$6/E93/'Параметры'!$C$8</f>
        <v>0.1377245508982036</v>
      </c>
    </row>
    <row r="94">
      <c r="A94" s="17" t="inlineStr">
        <is>
          <t>БП-12</t>
        </is>
      </c>
      <c r="B94" s="17" t="inlineStr">
        <is>
          <t>№12</t>
        </is>
      </c>
      <c r="C94" s="17" t="inlineStr">
        <is>
          <t>7</t>
        </is>
      </c>
      <c r="D94" s="18" t="n">
        <v>7560</v>
      </c>
      <c r="E94" s="19" t="n">
        <v>1670</v>
      </c>
      <c r="F94" s="20">
        <f>'Параметры'!$C$7</f>
        <v>0.5</v>
      </c>
      <c r="G94" s="21">
        <f>E94*F94*'Параметры'!$C$8</f>
        <v>835</v>
      </c>
      <c r="H94" s="21">
        <f>G94*'Параметры'!$C$6/100</f>
        <v>83.5</v>
      </c>
      <c r="I94" s="19">
        <f>H94/'Параметры'!$C$9</f>
        <v>3.630434782608696</v>
      </c>
      <c r="J94" s="18">
        <f>ROUNDUP(H94/'Параметры'!$C$9,0)</f>
        <v>4</v>
      </c>
      <c r="K94" s="21">
        <f>'Параметры'!$C$10*'Параметры'!$C$9</f>
        <v>23</v>
      </c>
      <c r="L94" s="21">
        <f>K94-H94</f>
        <v>-60.5</v>
      </c>
      <c r="M94" s="20">
        <f>'Параметры'!$C$10*'Параметры'!$C$9*100/'Параметры'!$C$6/E94/'Параметры'!$C$8</f>
        <v>0.1377245508982036</v>
      </c>
    </row>
    <row r="95">
      <c r="A95" s="22" t="inlineStr">
        <is>
          <t>БП-12</t>
        </is>
      </c>
      <c r="B95" s="22" t="inlineStr">
        <is>
          <t>№12</t>
        </is>
      </c>
      <c r="C95" s="22" t="inlineStr">
        <is>
          <t>8</t>
        </is>
      </c>
      <c r="D95" s="13" t="n">
        <v>7560</v>
      </c>
      <c r="E95" s="23" t="n">
        <v>1670</v>
      </c>
      <c r="F95" s="24">
        <f>'Параметры'!$C$7</f>
        <v>0.5</v>
      </c>
      <c r="G95" s="25">
        <f>E95*F95*'Параметры'!$C$8</f>
        <v>835</v>
      </c>
      <c r="H95" s="25">
        <f>G95*'Параметры'!$C$6/100</f>
        <v>83.5</v>
      </c>
      <c r="I95" s="23">
        <f>H95/'Параметры'!$C$9</f>
        <v>3.630434782608696</v>
      </c>
      <c r="J95" s="13">
        <f>ROUNDUP(H95/'Параметры'!$C$9,0)</f>
        <v>4</v>
      </c>
      <c r="K95" s="25">
        <f>'Параметры'!$C$10*'Параметры'!$C$9</f>
        <v>23</v>
      </c>
      <c r="L95" s="25">
        <f>K95-H95</f>
        <v>-60.5</v>
      </c>
      <c r="M95" s="24">
        <f>'Параметры'!$C$10*'Параметры'!$C$9*100/'Параметры'!$C$6/E95/'Параметры'!$C$8</f>
        <v>0.1377245508982036</v>
      </c>
    </row>
    <row r="96">
      <c r="A96" s="17" t="inlineStr">
        <is>
          <t>БП-12</t>
        </is>
      </c>
      <c r="B96" s="17" t="inlineStr">
        <is>
          <t>№12</t>
        </is>
      </c>
      <c r="C96" s="17" t="inlineStr">
        <is>
          <t>9</t>
        </is>
      </c>
      <c r="D96" s="18" t="n">
        <v>7560</v>
      </c>
      <c r="E96" s="19" t="n">
        <v>1670</v>
      </c>
      <c r="F96" s="20">
        <f>'Параметры'!$C$7</f>
        <v>0.5</v>
      </c>
      <c r="G96" s="21">
        <f>E96*F96*'Параметры'!$C$8</f>
        <v>835</v>
      </c>
      <c r="H96" s="21">
        <f>G96*'Параметры'!$C$6/100</f>
        <v>83.5</v>
      </c>
      <c r="I96" s="19">
        <f>H96/'Параметры'!$C$9</f>
        <v>3.630434782608696</v>
      </c>
      <c r="J96" s="18">
        <f>ROUNDUP(H96/'Параметры'!$C$9,0)</f>
        <v>4</v>
      </c>
      <c r="K96" s="21">
        <f>'Параметры'!$C$10*'Параметры'!$C$9</f>
        <v>23</v>
      </c>
      <c r="L96" s="21">
        <f>K96-H96</f>
        <v>-60.5</v>
      </c>
      <c r="M96" s="20">
        <f>'Параметры'!$C$10*'Параметры'!$C$9*100/'Параметры'!$C$6/E96/'Параметры'!$C$8</f>
        <v>0.1377245508982036</v>
      </c>
    </row>
    <row r="97">
      <c r="A97" s="22" t="inlineStr">
        <is>
          <t>БП-12</t>
        </is>
      </c>
      <c r="B97" s="22" t="inlineStr">
        <is>
          <t>№12</t>
        </is>
      </c>
      <c r="C97" s="22" t="inlineStr">
        <is>
          <t>10</t>
        </is>
      </c>
      <c r="D97" s="13" t="n">
        <v>7560</v>
      </c>
      <c r="E97" s="23" t="n">
        <v>1670</v>
      </c>
      <c r="F97" s="24">
        <f>'Параметры'!$C$7</f>
        <v>0.5</v>
      </c>
      <c r="G97" s="25">
        <f>E97*F97*'Параметры'!$C$8</f>
        <v>835</v>
      </c>
      <c r="H97" s="25">
        <f>G97*'Параметры'!$C$6/100</f>
        <v>83.5</v>
      </c>
      <c r="I97" s="23">
        <f>H97/'Параметры'!$C$9</f>
        <v>3.630434782608696</v>
      </c>
      <c r="J97" s="13">
        <f>ROUNDUP(H97/'Параметры'!$C$9,0)</f>
        <v>4</v>
      </c>
      <c r="K97" s="25">
        <f>'Параметры'!$C$10*'Параметры'!$C$9</f>
        <v>23</v>
      </c>
      <c r="L97" s="25">
        <f>K97-H97</f>
        <v>-60.5</v>
      </c>
      <c r="M97" s="24">
        <f>'Параметры'!$C$10*'Параметры'!$C$9*100/'Параметры'!$C$6/E97/'Параметры'!$C$8</f>
        <v>0.1377245508982036</v>
      </c>
    </row>
    <row r="98">
      <c r="A98" s="17" t="inlineStr">
        <is>
          <t>БП-12</t>
        </is>
      </c>
      <c r="B98" s="17" t="inlineStr">
        <is>
          <t>№12</t>
        </is>
      </c>
      <c r="C98" s="17" t="inlineStr">
        <is>
          <t>11</t>
        </is>
      </c>
      <c r="D98" s="18" t="n">
        <v>7560</v>
      </c>
      <c r="E98" s="19" t="n">
        <v>1670</v>
      </c>
      <c r="F98" s="20">
        <f>'Параметры'!$C$7</f>
        <v>0.5</v>
      </c>
      <c r="G98" s="21">
        <f>E98*F98*'Параметры'!$C$8</f>
        <v>835</v>
      </c>
      <c r="H98" s="21">
        <f>G98*'Параметры'!$C$6/100</f>
        <v>83.5</v>
      </c>
      <c r="I98" s="19">
        <f>H98/'Параметры'!$C$9</f>
        <v>3.630434782608696</v>
      </c>
      <c r="J98" s="18">
        <f>ROUNDUP(H98/'Параметры'!$C$9,0)</f>
        <v>4</v>
      </c>
      <c r="K98" s="21">
        <f>'Параметры'!$C$10*'Параметры'!$C$9</f>
        <v>23</v>
      </c>
      <c r="L98" s="21">
        <f>K98-H98</f>
        <v>-60.5</v>
      </c>
      <c r="M98" s="20">
        <f>'Параметры'!$C$10*'Параметры'!$C$9*100/'Параметры'!$C$6/E98/'Параметры'!$C$8</f>
        <v>0.1377245508982036</v>
      </c>
    </row>
    <row r="99">
      <c r="A99" s="22" t="inlineStr">
        <is>
          <t>БП-12</t>
        </is>
      </c>
      <c r="B99" s="22" t="inlineStr">
        <is>
          <t>№12</t>
        </is>
      </c>
      <c r="C99" s="22" t="inlineStr">
        <is>
          <t>12</t>
        </is>
      </c>
      <c r="D99" s="13" t="n">
        <v>7560</v>
      </c>
      <c r="E99" s="23" t="n">
        <v>1670</v>
      </c>
      <c r="F99" s="24">
        <f>'Параметры'!$C$7</f>
        <v>0.5</v>
      </c>
      <c r="G99" s="25">
        <f>E99*F99*'Параметры'!$C$8</f>
        <v>835</v>
      </c>
      <c r="H99" s="25">
        <f>G99*'Параметры'!$C$6/100</f>
        <v>83.5</v>
      </c>
      <c r="I99" s="23">
        <f>H99/'Параметры'!$C$9</f>
        <v>3.630434782608696</v>
      </c>
      <c r="J99" s="13">
        <f>ROUNDUP(H99/'Параметры'!$C$9,0)</f>
        <v>4</v>
      </c>
      <c r="K99" s="25">
        <f>'Параметры'!$C$10*'Параметры'!$C$9</f>
        <v>23</v>
      </c>
      <c r="L99" s="25">
        <f>K99-H99</f>
        <v>-60.5</v>
      </c>
      <c r="M99" s="24">
        <f>'Параметры'!$C$10*'Параметры'!$C$9*100/'Параметры'!$C$6/E99/'Параметры'!$C$8</f>
        <v>0.1377245508982036</v>
      </c>
    </row>
    <row r="100">
      <c r="A100" s="17" t="inlineStr">
        <is>
          <t>БП-13</t>
        </is>
      </c>
      <c r="B100" s="17" t="inlineStr">
        <is>
          <t>№13</t>
        </is>
      </c>
      <c r="C100" s="17" t="inlineStr">
        <is>
          <t>1</t>
        </is>
      </c>
      <c r="D100" s="18" t="n">
        <v>7560</v>
      </c>
      <c r="E100" s="19" t="n">
        <v>1670</v>
      </c>
      <c r="F100" s="20">
        <f>'Параметры'!$C$7</f>
        <v>0.5</v>
      </c>
      <c r="G100" s="21">
        <f>E100*F100*'Параметры'!$C$8</f>
        <v>835</v>
      </c>
      <c r="H100" s="21">
        <f>G100*'Параметры'!$C$6/100</f>
        <v>83.5</v>
      </c>
      <c r="I100" s="19">
        <f>H100/'Параметры'!$C$9</f>
        <v>3.630434782608696</v>
      </c>
      <c r="J100" s="18">
        <f>ROUNDUP(H100/'Параметры'!$C$9,0)</f>
        <v>4</v>
      </c>
      <c r="K100" s="21">
        <f>'Параметры'!$C$10*'Параметры'!$C$9</f>
        <v>23</v>
      </c>
      <c r="L100" s="21">
        <f>K100-H100</f>
        <v>-60.5</v>
      </c>
      <c r="M100" s="20">
        <f>'Параметры'!$C$10*'Параметры'!$C$9*100/'Параметры'!$C$6/E100/'Параметры'!$C$8</f>
        <v>0.1377245508982036</v>
      </c>
    </row>
    <row r="101">
      <c r="A101" s="22" t="inlineStr">
        <is>
          <t>БП-13</t>
        </is>
      </c>
      <c r="B101" s="22" t="inlineStr">
        <is>
          <t>№13</t>
        </is>
      </c>
      <c r="C101" s="22" t="inlineStr">
        <is>
          <t>2</t>
        </is>
      </c>
      <c r="D101" s="13" t="n">
        <v>7560</v>
      </c>
      <c r="E101" s="23" t="n">
        <v>1670</v>
      </c>
      <c r="F101" s="24">
        <f>'Параметры'!$C$7</f>
        <v>0.5</v>
      </c>
      <c r="G101" s="25">
        <f>E101*F101*'Параметры'!$C$8</f>
        <v>835</v>
      </c>
      <c r="H101" s="25">
        <f>G101*'Параметры'!$C$6/100</f>
        <v>83.5</v>
      </c>
      <c r="I101" s="23">
        <f>H101/'Параметры'!$C$9</f>
        <v>3.630434782608696</v>
      </c>
      <c r="J101" s="13">
        <f>ROUNDUP(H101/'Параметры'!$C$9,0)</f>
        <v>4</v>
      </c>
      <c r="K101" s="25">
        <f>'Параметры'!$C$10*'Параметры'!$C$9</f>
        <v>23</v>
      </c>
      <c r="L101" s="25">
        <f>K101-H101</f>
        <v>-60.5</v>
      </c>
      <c r="M101" s="24">
        <f>'Параметры'!$C$10*'Параметры'!$C$9*100/'Параметры'!$C$6/E101/'Параметры'!$C$8</f>
        <v>0.1377245508982036</v>
      </c>
    </row>
    <row r="102">
      <c r="A102" s="17" t="inlineStr">
        <is>
          <t>БП-13</t>
        </is>
      </c>
      <c r="B102" s="17" t="inlineStr">
        <is>
          <t>№13</t>
        </is>
      </c>
      <c r="C102" s="17" t="inlineStr">
        <is>
          <t>3</t>
        </is>
      </c>
      <c r="D102" s="18" t="n">
        <v>7560</v>
      </c>
      <c r="E102" s="19" t="n">
        <v>1670</v>
      </c>
      <c r="F102" s="20">
        <f>'Параметры'!$C$7</f>
        <v>0.5</v>
      </c>
      <c r="G102" s="21">
        <f>E102*F102*'Параметры'!$C$8</f>
        <v>835</v>
      </c>
      <c r="H102" s="21">
        <f>G102*'Параметры'!$C$6/100</f>
        <v>83.5</v>
      </c>
      <c r="I102" s="19">
        <f>H102/'Параметры'!$C$9</f>
        <v>3.630434782608696</v>
      </c>
      <c r="J102" s="18">
        <f>ROUNDUP(H102/'Параметры'!$C$9,0)</f>
        <v>4</v>
      </c>
      <c r="K102" s="21">
        <f>'Параметры'!$C$10*'Параметры'!$C$9</f>
        <v>23</v>
      </c>
      <c r="L102" s="21">
        <f>K102-H102</f>
        <v>-60.5</v>
      </c>
      <c r="M102" s="20">
        <f>'Параметры'!$C$10*'Параметры'!$C$9*100/'Параметры'!$C$6/E102/'Параметры'!$C$8</f>
        <v>0.1377245508982036</v>
      </c>
    </row>
    <row r="103">
      <c r="A103" s="22" t="inlineStr">
        <is>
          <t>БП-13</t>
        </is>
      </c>
      <c r="B103" s="22" t="inlineStr">
        <is>
          <t>№13</t>
        </is>
      </c>
      <c r="C103" s="22" t="inlineStr">
        <is>
          <t>4</t>
        </is>
      </c>
      <c r="D103" s="13" t="n">
        <v>7560</v>
      </c>
      <c r="E103" s="23" t="n">
        <v>1670</v>
      </c>
      <c r="F103" s="24">
        <f>'Параметры'!$C$7</f>
        <v>0.5</v>
      </c>
      <c r="G103" s="25">
        <f>E103*F103*'Параметры'!$C$8</f>
        <v>835</v>
      </c>
      <c r="H103" s="25">
        <f>G103*'Параметры'!$C$6/100</f>
        <v>83.5</v>
      </c>
      <c r="I103" s="23">
        <f>H103/'Параметры'!$C$9</f>
        <v>3.630434782608696</v>
      </c>
      <c r="J103" s="13">
        <f>ROUNDUP(H103/'Параметры'!$C$9,0)</f>
        <v>4</v>
      </c>
      <c r="K103" s="25">
        <f>'Параметры'!$C$10*'Параметры'!$C$9</f>
        <v>23</v>
      </c>
      <c r="L103" s="25">
        <f>K103-H103</f>
        <v>-60.5</v>
      </c>
      <c r="M103" s="24">
        <f>'Параметры'!$C$10*'Параметры'!$C$9*100/'Параметры'!$C$6/E103/'Параметры'!$C$8</f>
        <v>0.1377245508982036</v>
      </c>
    </row>
    <row r="104">
      <c r="A104" s="17" t="inlineStr">
        <is>
          <t>БП-13</t>
        </is>
      </c>
      <c r="B104" s="17" t="inlineStr">
        <is>
          <t>№13</t>
        </is>
      </c>
      <c r="C104" s="17" t="inlineStr">
        <is>
          <t>5</t>
        </is>
      </c>
      <c r="D104" s="18" t="n">
        <v>7560</v>
      </c>
      <c r="E104" s="19" t="n">
        <v>1670</v>
      </c>
      <c r="F104" s="20">
        <f>'Параметры'!$C$7</f>
        <v>0.5</v>
      </c>
      <c r="G104" s="21">
        <f>E104*F104*'Параметры'!$C$8</f>
        <v>835</v>
      </c>
      <c r="H104" s="21">
        <f>G104*'Параметры'!$C$6/100</f>
        <v>83.5</v>
      </c>
      <c r="I104" s="19">
        <f>H104/'Параметры'!$C$9</f>
        <v>3.630434782608696</v>
      </c>
      <c r="J104" s="18">
        <f>ROUNDUP(H104/'Параметры'!$C$9,0)</f>
        <v>4</v>
      </c>
      <c r="K104" s="21">
        <f>'Параметры'!$C$10*'Параметры'!$C$9</f>
        <v>23</v>
      </c>
      <c r="L104" s="21">
        <f>K104-H104</f>
        <v>-60.5</v>
      </c>
      <c r="M104" s="20">
        <f>'Параметры'!$C$10*'Параметры'!$C$9*100/'Параметры'!$C$6/E104/'Параметры'!$C$8</f>
        <v>0.1377245508982036</v>
      </c>
    </row>
    <row r="105">
      <c r="A105" s="22" t="inlineStr">
        <is>
          <t>БП-13</t>
        </is>
      </c>
      <c r="B105" s="22" t="inlineStr">
        <is>
          <t>№13</t>
        </is>
      </c>
      <c r="C105" s="22" t="inlineStr">
        <is>
          <t>6</t>
        </is>
      </c>
      <c r="D105" s="13" t="n">
        <v>7560</v>
      </c>
      <c r="E105" s="23" t="n">
        <v>1670</v>
      </c>
      <c r="F105" s="24">
        <f>'Параметры'!$C$7</f>
        <v>0.5</v>
      </c>
      <c r="G105" s="25">
        <f>E105*F105*'Параметры'!$C$8</f>
        <v>835</v>
      </c>
      <c r="H105" s="25">
        <f>G105*'Параметры'!$C$6/100</f>
        <v>83.5</v>
      </c>
      <c r="I105" s="23">
        <f>H105/'Параметры'!$C$9</f>
        <v>3.630434782608696</v>
      </c>
      <c r="J105" s="13">
        <f>ROUNDUP(H105/'Параметры'!$C$9,0)</f>
        <v>4</v>
      </c>
      <c r="K105" s="25">
        <f>'Параметры'!$C$10*'Параметры'!$C$9</f>
        <v>23</v>
      </c>
      <c r="L105" s="25">
        <f>K105-H105</f>
        <v>-60.5</v>
      </c>
      <c r="M105" s="24">
        <f>'Параметры'!$C$10*'Параметры'!$C$9*100/'Параметры'!$C$6/E105/'Параметры'!$C$8</f>
        <v>0.1377245508982036</v>
      </c>
    </row>
    <row r="106">
      <c r="A106" s="17" t="inlineStr">
        <is>
          <t>БП-13</t>
        </is>
      </c>
      <c r="B106" s="17" t="inlineStr">
        <is>
          <t>№13</t>
        </is>
      </c>
      <c r="C106" s="17" t="inlineStr">
        <is>
          <t>7</t>
        </is>
      </c>
      <c r="D106" s="18" t="n">
        <v>7560</v>
      </c>
      <c r="E106" s="19" t="n">
        <v>1670</v>
      </c>
      <c r="F106" s="20">
        <f>'Параметры'!$C$7</f>
        <v>0.5</v>
      </c>
      <c r="G106" s="21">
        <f>E106*F106*'Параметры'!$C$8</f>
        <v>835</v>
      </c>
      <c r="H106" s="21">
        <f>G106*'Параметры'!$C$6/100</f>
        <v>83.5</v>
      </c>
      <c r="I106" s="19">
        <f>H106/'Параметры'!$C$9</f>
        <v>3.630434782608696</v>
      </c>
      <c r="J106" s="18">
        <f>ROUNDUP(H106/'Параметры'!$C$9,0)</f>
        <v>4</v>
      </c>
      <c r="K106" s="21">
        <f>'Параметры'!$C$10*'Параметры'!$C$9</f>
        <v>23</v>
      </c>
      <c r="L106" s="21">
        <f>K106-H106</f>
        <v>-60.5</v>
      </c>
      <c r="M106" s="20">
        <f>'Параметры'!$C$10*'Параметры'!$C$9*100/'Параметры'!$C$6/E106/'Параметры'!$C$8</f>
        <v>0.1377245508982036</v>
      </c>
    </row>
    <row r="107">
      <c r="A107" s="22" t="inlineStr">
        <is>
          <t>БП-13</t>
        </is>
      </c>
      <c r="B107" s="22" t="inlineStr">
        <is>
          <t>№13</t>
        </is>
      </c>
      <c r="C107" s="22" t="inlineStr">
        <is>
          <t>8</t>
        </is>
      </c>
      <c r="D107" s="13" t="n">
        <v>7560</v>
      </c>
      <c r="E107" s="23" t="n">
        <v>1670</v>
      </c>
      <c r="F107" s="24">
        <f>'Параметры'!$C$7</f>
        <v>0.5</v>
      </c>
      <c r="G107" s="25">
        <f>E107*F107*'Параметры'!$C$8</f>
        <v>835</v>
      </c>
      <c r="H107" s="25">
        <f>G107*'Параметры'!$C$6/100</f>
        <v>83.5</v>
      </c>
      <c r="I107" s="23">
        <f>H107/'Параметры'!$C$9</f>
        <v>3.630434782608696</v>
      </c>
      <c r="J107" s="13">
        <f>ROUNDUP(H107/'Параметры'!$C$9,0)</f>
        <v>4</v>
      </c>
      <c r="K107" s="25">
        <f>'Параметры'!$C$10*'Параметры'!$C$9</f>
        <v>23</v>
      </c>
      <c r="L107" s="25">
        <f>K107-H107</f>
        <v>-60.5</v>
      </c>
      <c r="M107" s="24">
        <f>'Параметры'!$C$10*'Параметры'!$C$9*100/'Параметры'!$C$6/E107/'Параметры'!$C$8</f>
        <v>0.1377245508982036</v>
      </c>
    </row>
    <row r="108">
      <c r="A108" s="17" t="inlineStr">
        <is>
          <t>БП-13</t>
        </is>
      </c>
      <c r="B108" s="17" t="inlineStr">
        <is>
          <t>№13</t>
        </is>
      </c>
      <c r="C108" s="17" t="inlineStr">
        <is>
          <t>9</t>
        </is>
      </c>
      <c r="D108" s="18" t="n">
        <v>7560</v>
      </c>
      <c r="E108" s="19" t="n">
        <v>1670</v>
      </c>
      <c r="F108" s="20">
        <f>'Параметры'!$C$7</f>
        <v>0.5</v>
      </c>
      <c r="G108" s="21">
        <f>E108*F108*'Параметры'!$C$8</f>
        <v>835</v>
      </c>
      <c r="H108" s="21">
        <f>G108*'Параметры'!$C$6/100</f>
        <v>83.5</v>
      </c>
      <c r="I108" s="19">
        <f>H108/'Параметры'!$C$9</f>
        <v>3.630434782608696</v>
      </c>
      <c r="J108" s="18">
        <f>ROUNDUP(H108/'Параметры'!$C$9,0)</f>
        <v>4</v>
      </c>
      <c r="K108" s="21">
        <f>'Параметры'!$C$10*'Параметры'!$C$9</f>
        <v>23</v>
      </c>
      <c r="L108" s="21">
        <f>K108-H108</f>
        <v>-60.5</v>
      </c>
      <c r="M108" s="20">
        <f>'Параметры'!$C$10*'Параметры'!$C$9*100/'Параметры'!$C$6/E108/'Параметры'!$C$8</f>
        <v>0.1377245508982036</v>
      </c>
    </row>
    <row r="109">
      <c r="A109" s="22" t="inlineStr">
        <is>
          <t>БП-13</t>
        </is>
      </c>
      <c r="B109" s="22" t="inlineStr">
        <is>
          <t>№13</t>
        </is>
      </c>
      <c r="C109" s="22" t="inlineStr">
        <is>
          <t>10</t>
        </is>
      </c>
      <c r="D109" s="13" t="n">
        <v>7560</v>
      </c>
      <c r="E109" s="23" t="n">
        <v>1670</v>
      </c>
      <c r="F109" s="24">
        <f>'Параметры'!$C$7</f>
        <v>0.5</v>
      </c>
      <c r="G109" s="25">
        <f>E109*F109*'Параметры'!$C$8</f>
        <v>835</v>
      </c>
      <c r="H109" s="25">
        <f>G109*'Параметры'!$C$6/100</f>
        <v>83.5</v>
      </c>
      <c r="I109" s="23">
        <f>H109/'Параметры'!$C$9</f>
        <v>3.630434782608696</v>
      </c>
      <c r="J109" s="13">
        <f>ROUNDUP(H109/'Параметры'!$C$9,0)</f>
        <v>4</v>
      </c>
      <c r="K109" s="25">
        <f>'Параметры'!$C$10*'Параметры'!$C$9</f>
        <v>23</v>
      </c>
      <c r="L109" s="25">
        <f>K109-H109</f>
        <v>-60.5</v>
      </c>
      <c r="M109" s="24">
        <f>'Параметры'!$C$10*'Параметры'!$C$9*100/'Параметры'!$C$6/E109/'Параметры'!$C$8</f>
        <v>0.1377245508982036</v>
      </c>
    </row>
    <row r="110">
      <c r="A110" s="17" t="inlineStr">
        <is>
          <t>БП-13</t>
        </is>
      </c>
      <c r="B110" s="17" t="inlineStr">
        <is>
          <t>№13</t>
        </is>
      </c>
      <c r="C110" s="17" t="inlineStr">
        <is>
          <t>11</t>
        </is>
      </c>
      <c r="D110" s="18" t="n">
        <v>7560</v>
      </c>
      <c r="E110" s="19" t="n">
        <v>1670</v>
      </c>
      <c r="F110" s="20">
        <f>'Параметры'!$C$7</f>
        <v>0.5</v>
      </c>
      <c r="G110" s="21">
        <f>E110*F110*'Параметры'!$C$8</f>
        <v>835</v>
      </c>
      <c r="H110" s="21">
        <f>G110*'Параметры'!$C$6/100</f>
        <v>83.5</v>
      </c>
      <c r="I110" s="19">
        <f>H110/'Параметры'!$C$9</f>
        <v>3.630434782608696</v>
      </c>
      <c r="J110" s="18">
        <f>ROUNDUP(H110/'Параметры'!$C$9,0)</f>
        <v>4</v>
      </c>
      <c r="K110" s="21">
        <f>'Параметры'!$C$10*'Параметры'!$C$9</f>
        <v>23</v>
      </c>
      <c r="L110" s="21">
        <f>K110-H110</f>
        <v>-60.5</v>
      </c>
      <c r="M110" s="20">
        <f>'Параметры'!$C$10*'Параметры'!$C$9*100/'Параметры'!$C$6/E110/'Параметры'!$C$8</f>
        <v>0.1377245508982036</v>
      </c>
    </row>
    <row r="111">
      <c r="A111" s="22" t="inlineStr">
        <is>
          <t>БП-13</t>
        </is>
      </c>
      <c r="B111" s="22" t="inlineStr">
        <is>
          <t>№13</t>
        </is>
      </c>
      <c r="C111" s="22" t="inlineStr">
        <is>
          <t>12</t>
        </is>
      </c>
      <c r="D111" s="13" t="n">
        <v>7560</v>
      </c>
      <c r="E111" s="23" t="n">
        <v>1670</v>
      </c>
      <c r="F111" s="24">
        <f>'Параметры'!$C$7</f>
        <v>0.5</v>
      </c>
      <c r="G111" s="25">
        <f>E111*F111*'Параметры'!$C$8</f>
        <v>835</v>
      </c>
      <c r="H111" s="25">
        <f>G111*'Параметры'!$C$6/100</f>
        <v>83.5</v>
      </c>
      <c r="I111" s="23">
        <f>H111/'Параметры'!$C$9</f>
        <v>3.630434782608696</v>
      </c>
      <c r="J111" s="13">
        <f>ROUNDUP(H111/'Параметры'!$C$9,0)</f>
        <v>4</v>
      </c>
      <c r="K111" s="25">
        <f>'Параметры'!$C$10*'Параметры'!$C$9</f>
        <v>23</v>
      </c>
      <c r="L111" s="25">
        <f>K111-H111</f>
        <v>-60.5</v>
      </c>
      <c r="M111" s="24">
        <f>'Параметры'!$C$10*'Параметры'!$C$9*100/'Параметры'!$C$6/E111/'Параметры'!$C$8</f>
        <v>0.1377245508982036</v>
      </c>
    </row>
    <row r="112">
      <c r="A112" s="17" t="inlineStr">
        <is>
          <t>БП-14</t>
        </is>
      </c>
      <c r="B112" s="17" t="inlineStr">
        <is>
          <t>№14</t>
        </is>
      </c>
      <c r="C112" s="17" t="inlineStr">
        <is>
          <t>1</t>
        </is>
      </c>
      <c r="D112" s="18" t="n">
        <v>7560</v>
      </c>
      <c r="E112" s="19" t="n">
        <v>1670</v>
      </c>
      <c r="F112" s="20">
        <f>'Параметры'!$C$7</f>
        <v>0.5</v>
      </c>
      <c r="G112" s="21">
        <f>E112*F112*'Параметры'!$C$8</f>
        <v>835</v>
      </c>
      <c r="H112" s="21">
        <f>G112*'Параметры'!$C$6/100</f>
        <v>83.5</v>
      </c>
      <c r="I112" s="19">
        <f>H112/'Параметры'!$C$9</f>
        <v>3.630434782608696</v>
      </c>
      <c r="J112" s="18">
        <f>ROUNDUP(H112/'Параметры'!$C$9,0)</f>
        <v>4</v>
      </c>
      <c r="K112" s="21">
        <f>'Параметры'!$C$10*'Параметры'!$C$9</f>
        <v>23</v>
      </c>
      <c r="L112" s="21">
        <f>K112-H112</f>
        <v>-60.5</v>
      </c>
      <c r="M112" s="20">
        <f>'Параметры'!$C$10*'Параметры'!$C$9*100/'Параметры'!$C$6/E112/'Параметры'!$C$8</f>
        <v>0.1377245508982036</v>
      </c>
    </row>
    <row r="113">
      <c r="A113" s="22" t="inlineStr">
        <is>
          <t>БП-14</t>
        </is>
      </c>
      <c r="B113" s="22" t="inlineStr">
        <is>
          <t>№14</t>
        </is>
      </c>
      <c r="C113" s="22" t="inlineStr">
        <is>
          <t>2</t>
        </is>
      </c>
      <c r="D113" s="13" t="n">
        <v>7560</v>
      </c>
      <c r="E113" s="23" t="n">
        <v>1670</v>
      </c>
      <c r="F113" s="24">
        <f>'Параметры'!$C$7</f>
        <v>0.5</v>
      </c>
      <c r="G113" s="25">
        <f>E113*F113*'Параметры'!$C$8</f>
        <v>835</v>
      </c>
      <c r="H113" s="25">
        <f>G113*'Параметры'!$C$6/100</f>
        <v>83.5</v>
      </c>
      <c r="I113" s="23">
        <f>H113/'Параметры'!$C$9</f>
        <v>3.630434782608696</v>
      </c>
      <c r="J113" s="13">
        <f>ROUNDUP(H113/'Параметры'!$C$9,0)</f>
        <v>4</v>
      </c>
      <c r="K113" s="25">
        <f>'Параметры'!$C$10*'Параметры'!$C$9</f>
        <v>23</v>
      </c>
      <c r="L113" s="25">
        <f>K113-H113</f>
        <v>-60.5</v>
      </c>
      <c r="M113" s="24">
        <f>'Параметры'!$C$10*'Параметры'!$C$9*100/'Параметры'!$C$6/E113/'Параметры'!$C$8</f>
        <v>0.1377245508982036</v>
      </c>
    </row>
    <row r="114">
      <c r="A114" s="17" t="inlineStr">
        <is>
          <t>БП-14</t>
        </is>
      </c>
      <c r="B114" s="17" t="inlineStr">
        <is>
          <t>№14</t>
        </is>
      </c>
      <c r="C114" s="17" t="inlineStr">
        <is>
          <t>3</t>
        </is>
      </c>
      <c r="D114" s="18" t="n">
        <v>7560</v>
      </c>
      <c r="E114" s="19" t="n">
        <v>1670</v>
      </c>
      <c r="F114" s="20">
        <f>'Параметры'!$C$7</f>
        <v>0.5</v>
      </c>
      <c r="G114" s="21">
        <f>E114*F114*'Параметры'!$C$8</f>
        <v>835</v>
      </c>
      <c r="H114" s="21">
        <f>G114*'Параметры'!$C$6/100</f>
        <v>83.5</v>
      </c>
      <c r="I114" s="19">
        <f>H114/'Параметры'!$C$9</f>
        <v>3.630434782608696</v>
      </c>
      <c r="J114" s="18">
        <f>ROUNDUP(H114/'Параметры'!$C$9,0)</f>
        <v>4</v>
      </c>
      <c r="K114" s="21">
        <f>'Параметры'!$C$10*'Параметры'!$C$9</f>
        <v>23</v>
      </c>
      <c r="L114" s="21">
        <f>K114-H114</f>
        <v>-60.5</v>
      </c>
      <c r="M114" s="20">
        <f>'Параметры'!$C$10*'Параметры'!$C$9*100/'Параметры'!$C$6/E114/'Параметры'!$C$8</f>
        <v>0.1377245508982036</v>
      </c>
    </row>
    <row r="115">
      <c r="A115" s="22" t="inlineStr">
        <is>
          <t>БП-14</t>
        </is>
      </c>
      <c r="B115" s="22" t="inlineStr">
        <is>
          <t>№14</t>
        </is>
      </c>
      <c r="C115" s="22" t="inlineStr">
        <is>
          <t>4</t>
        </is>
      </c>
      <c r="D115" s="13" t="n">
        <v>7560</v>
      </c>
      <c r="E115" s="23" t="n">
        <v>1670</v>
      </c>
      <c r="F115" s="24">
        <f>'Параметры'!$C$7</f>
        <v>0.5</v>
      </c>
      <c r="G115" s="25">
        <f>E115*F115*'Параметры'!$C$8</f>
        <v>835</v>
      </c>
      <c r="H115" s="25">
        <f>G115*'Параметры'!$C$6/100</f>
        <v>83.5</v>
      </c>
      <c r="I115" s="23">
        <f>H115/'Параметры'!$C$9</f>
        <v>3.630434782608696</v>
      </c>
      <c r="J115" s="13">
        <f>ROUNDUP(H115/'Параметры'!$C$9,0)</f>
        <v>4</v>
      </c>
      <c r="K115" s="25">
        <f>'Параметры'!$C$10*'Параметры'!$C$9</f>
        <v>23</v>
      </c>
      <c r="L115" s="25">
        <f>K115-H115</f>
        <v>-60.5</v>
      </c>
      <c r="M115" s="24">
        <f>'Параметры'!$C$10*'Параметры'!$C$9*100/'Параметры'!$C$6/E115/'Параметры'!$C$8</f>
        <v>0.1377245508982036</v>
      </c>
    </row>
    <row r="116">
      <c r="A116" s="17" t="inlineStr">
        <is>
          <t>БП-14</t>
        </is>
      </c>
      <c r="B116" s="17" t="inlineStr">
        <is>
          <t>№14</t>
        </is>
      </c>
      <c r="C116" s="17" t="inlineStr">
        <is>
          <t>5</t>
        </is>
      </c>
      <c r="D116" s="18" t="n">
        <v>7560</v>
      </c>
      <c r="E116" s="19" t="n">
        <v>1670</v>
      </c>
      <c r="F116" s="20">
        <f>'Параметры'!$C$7</f>
        <v>0.5</v>
      </c>
      <c r="G116" s="21">
        <f>E116*F116*'Параметры'!$C$8</f>
        <v>835</v>
      </c>
      <c r="H116" s="21">
        <f>G116*'Параметры'!$C$6/100</f>
        <v>83.5</v>
      </c>
      <c r="I116" s="19">
        <f>H116/'Параметры'!$C$9</f>
        <v>3.630434782608696</v>
      </c>
      <c r="J116" s="18">
        <f>ROUNDUP(H116/'Параметры'!$C$9,0)</f>
        <v>4</v>
      </c>
      <c r="K116" s="21">
        <f>'Параметры'!$C$10*'Параметры'!$C$9</f>
        <v>23</v>
      </c>
      <c r="L116" s="21">
        <f>K116-H116</f>
        <v>-60.5</v>
      </c>
      <c r="M116" s="20">
        <f>'Параметры'!$C$10*'Параметры'!$C$9*100/'Параметры'!$C$6/E116/'Параметры'!$C$8</f>
        <v>0.1377245508982036</v>
      </c>
    </row>
    <row r="117">
      <c r="A117" s="22" t="inlineStr">
        <is>
          <t>БП-14</t>
        </is>
      </c>
      <c r="B117" s="22" t="inlineStr">
        <is>
          <t>№14</t>
        </is>
      </c>
      <c r="C117" s="22" t="inlineStr">
        <is>
          <t>6</t>
        </is>
      </c>
      <c r="D117" s="13" t="n">
        <v>7560</v>
      </c>
      <c r="E117" s="23" t="n">
        <v>1670</v>
      </c>
      <c r="F117" s="24">
        <f>'Параметры'!$C$7</f>
        <v>0.5</v>
      </c>
      <c r="G117" s="25">
        <f>E117*F117*'Параметры'!$C$8</f>
        <v>835</v>
      </c>
      <c r="H117" s="25">
        <f>G117*'Параметры'!$C$6/100</f>
        <v>83.5</v>
      </c>
      <c r="I117" s="23">
        <f>H117/'Параметры'!$C$9</f>
        <v>3.630434782608696</v>
      </c>
      <c r="J117" s="13">
        <f>ROUNDUP(H117/'Параметры'!$C$9,0)</f>
        <v>4</v>
      </c>
      <c r="K117" s="25">
        <f>'Параметры'!$C$10*'Параметры'!$C$9</f>
        <v>23</v>
      </c>
      <c r="L117" s="25">
        <f>K117-H117</f>
        <v>-60.5</v>
      </c>
      <c r="M117" s="24">
        <f>'Параметры'!$C$10*'Параметры'!$C$9*100/'Параметры'!$C$6/E117/'Параметры'!$C$8</f>
        <v>0.1377245508982036</v>
      </c>
    </row>
    <row r="118">
      <c r="A118" s="17" t="inlineStr">
        <is>
          <t>БП-14</t>
        </is>
      </c>
      <c r="B118" s="17" t="inlineStr">
        <is>
          <t>№14</t>
        </is>
      </c>
      <c r="C118" s="17" t="inlineStr">
        <is>
          <t>7</t>
        </is>
      </c>
      <c r="D118" s="18" t="n">
        <v>7560</v>
      </c>
      <c r="E118" s="19" t="n">
        <v>1670</v>
      </c>
      <c r="F118" s="20">
        <f>'Параметры'!$C$7</f>
        <v>0.5</v>
      </c>
      <c r="G118" s="21">
        <f>E118*F118*'Параметры'!$C$8</f>
        <v>835</v>
      </c>
      <c r="H118" s="21">
        <f>G118*'Параметры'!$C$6/100</f>
        <v>83.5</v>
      </c>
      <c r="I118" s="19">
        <f>H118/'Параметры'!$C$9</f>
        <v>3.630434782608696</v>
      </c>
      <c r="J118" s="18">
        <f>ROUNDUP(H118/'Параметры'!$C$9,0)</f>
        <v>4</v>
      </c>
      <c r="K118" s="21">
        <f>'Параметры'!$C$10*'Параметры'!$C$9</f>
        <v>23</v>
      </c>
      <c r="L118" s="21">
        <f>K118-H118</f>
        <v>-60.5</v>
      </c>
      <c r="M118" s="20">
        <f>'Параметры'!$C$10*'Параметры'!$C$9*100/'Параметры'!$C$6/E118/'Параметры'!$C$8</f>
        <v>0.1377245508982036</v>
      </c>
    </row>
    <row r="119">
      <c r="A119" s="22" t="inlineStr">
        <is>
          <t>БП-14</t>
        </is>
      </c>
      <c r="B119" s="22" t="inlineStr">
        <is>
          <t>№14</t>
        </is>
      </c>
      <c r="C119" s="22" t="inlineStr">
        <is>
          <t>8</t>
        </is>
      </c>
      <c r="D119" s="13" t="n">
        <v>7560</v>
      </c>
      <c r="E119" s="23" t="n">
        <v>1670</v>
      </c>
      <c r="F119" s="24">
        <f>'Параметры'!$C$7</f>
        <v>0.5</v>
      </c>
      <c r="G119" s="25">
        <f>E119*F119*'Параметры'!$C$8</f>
        <v>835</v>
      </c>
      <c r="H119" s="25">
        <f>G119*'Параметры'!$C$6/100</f>
        <v>83.5</v>
      </c>
      <c r="I119" s="23">
        <f>H119/'Параметры'!$C$9</f>
        <v>3.630434782608696</v>
      </c>
      <c r="J119" s="13">
        <f>ROUNDUP(H119/'Параметры'!$C$9,0)</f>
        <v>4</v>
      </c>
      <c r="K119" s="25">
        <f>'Параметры'!$C$10*'Параметры'!$C$9</f>
        <v>23</v>
      </c>
      <c r="L119" s="25">
        <f>K119-H119</f>
        <v>-60.5</v>
      </c>
      <c r="M119" s="24">
        <f>'Параметры'!$C$10*'Параметры'!$C$9*100/'Параметры'!$C$6/E119/'Параметры'!$C$8</f>
        <v>0.1377245508982036</v>
      </c>
    </row>
    <row r="120">
      <c r="A120" s="17" t="inlineStr">
        <is>
          <t>БП-14</t>
        </is>
      </c>
      <c r="B120" s="17" t="inlineStr">
        <is>
          <t>№14</t>
        </is>
      </c>
      <c r="C120" s="17" t="inlineStr">
        <is>
          <t>9</t>
        </is>
      </c>
      <c r="D120" s="18" t="n">
        <v>7560</v>
      </c>
      <c r="E120" s="19" t="n">
        <v>1670</v>
      </c>
      <c r="F120" s="20">
        <f>'Параметры'!$C$7</f>
        <v>0.5</v>
      </c>
      <c r="G120" s="21">
        <f>E120*F120*'Параметры'!$C$8</f>
        <v>835</v>
      </c>
      <c r="H120" s="21">
        <f>G120*'Параметры'!$C$6/100</f>
        <v>83.5</v>
      </c>
      <c r="I120" s="19">
        <f>H120/'Параметры'!$C$9</f>
        <v>3.630434782608696</v>
      </c>
      <c r="J120" s="18">
        <f>ROUNDUP(H120/'Параметры'!$C$9,0)</f>
        <v>4</v>
      </c>
      <c r="K120" s="21">
        <f>'Параметры'!$C$10*'Параметры'!$C$9</f>
        <v>23</v>
      </c>
      <c r="L120" s="21">
        <f>K120-H120</f>
        <v>-60.5</v>
      </c>
      <c r="M120" s="20">
        <f>'Параметры'!$C$10*'Параметры'!$C$9*100/'Параметры'!$C$6/E120/'Параметры'!$C$8</f>
        <v>0.1377245508982036</v>
      </c>
    </row>
    <row r="121">
      <c r="A121" s="22" t="inlineStr">
        <is>
          <t>БП-14</t>
        </is>
      </c>
      <c r="B121" s="22" t="inlineStr">
        <is>
          <t>№14</t>
        </is>
      </c>
      <c r="C121" s="22" t="inlineStr">
        <is>
          <t>10</t>
        </is>
      </c>
      <c r="D121" s="13" t="n">
        <v>7560</v>
      </c>
      <c r="E121" s="23" t="n">
        <v>1670</v>
      </c>
      <c r="F121" s="24">
        <f>'Параметры'!$C$7</f>
        <v>0.5</v>
      </c>
      <c r="G121" s="25">
        <f>E121*F121*'Параметры'!$C$8</f>
        <v>835</v>
      </c>
      <c r="H121" s="25">
        <f>G121*'Параметры'!$C$6/100</f>
        <v>83.5</v>
      </c>
      <c r="I121" s="23">
        <f>H121/'Параметры'!$C$9</f>
        <v>3.630434782608696</v>
      </c>
      <c r="J121" s="13">
        <f>ROUNDUP(H121/'Параметры'!$C$9,0)</f>
        <v>4</v>
      </c>
      <c r="K121" s="25">
        <f>'Параметры'!$C$10*'Параметры'!$C$9</f>
        <v>23</v>
      </c>
      <c r="L121" s="25">
        <f>K121-H121</f>
        <v>-60.5</v>
      </c>
      <c r="M121" s="24">
        <f>'Параметры'!$C$10*'Параметры'!$C$9*100/'Параметры'!$C$6/E121/'Параметры'!$C$8</f>
        <v>0.1377245508982036</v>
      </c>
    </row>
    <row r="122">
      <c r="A122" s="17" t="inlineStr">
        <is>
          <t>БП-14</t>
        </is>
      </c>
      <c r="B122" s="17" t="inlineStr">
        <is>
          <t>№14</t>
        </is>
      </c>
      <c r="C122" s="17" t="inlineStr">
        <is>
          <t>11</t>
        </is>
      </c>
      <c r="D122" s="18" t="n">
        <v>7560</v>
      </c>
      <c r="E122" s="19" t="n">
        <v>1670</v>
      </c>
      <c r="F122" s="20">
        <f>'Параметры'!$C$7</f>
        <v>0.5</v>
      </c>
      <c r="G122" s="21">
        <f>E122*F122*'Параметры'!$C$8</f>
        <v>835</v>
      </c>
      <c r="H122" s="21">
        <f>G122*'Параметры'!$C$6/100</f>
        <v>83.5</v>
      </c>
      <c r="I122" s="19">
        <f>H122/'Параметры'!$C$9</f>
        <v>3.630434782608696</v>
      </c>
      <c r="J122" s="18">
        <f>ROUNDUP(H122/'Параметры'!$C$9,0)</f>
        <v>4</v>
      </c>
      <c r="K122" s="21">
        <f>'Параметры'!$C$10*'Параметры'!$C$9</f>
        <v>23</v>
      </c>
      <c r="L122" s="21">
        <f>K122-H122</f>
        <v>-60.5</v>
      </c>
      <c r="M122" s="20">
        <f>'Параметры'!$C$10*'Параметры'!$C$9*100/'Параметры'!$C$6/E122/'Параметры'!$C$8</f>
        <v>0.1377245508982036</v>
      </c>
    </row>
    <row r="123">
      <c r="A123" s="22" t="inlineStr">
        <is>
          <t>БП-14</t>
        </is>
      </c>
      <c r="B123" s="22" t="inlineStr">
        <is>
          <t>№14</t>
        </is>
      </c>
      <c r="C123" s="22" t="inlineStr">
        <is>
          <t>12</t>
        </is>
      </c>
      <c r="D123" s="13" t="n">
        <v>7560</v>
      </c>
      <c r="E123" s="23" t="n">
        <v>1670</v>
      </c>
      <c r="F123" s="24">
        <f>'Параметры'!$C$7</f>
        <v>0.5</v>
      </c>
      <c r="G123" s="25">
        <f>E123*F123*'Параметры'!$C$8</f>
        <v>835</v>
      </c>
      <c r="H123" s="25">
        <f>G123*'Параметры'!$C$6/100</f>
        <v>83.5</v>
      </c>
      <c r="I123" s="23">
        <f>H123/'Параметры'!$C$9</f>
        <v>3.630434782608696</v>
      </c>
      <c r="J123" s="13">
        <f>ROUNDUP(H123/'Параметры'!$C$9,0)</f>
        <v>4</v>
      </c>
      <c r="K123" s="25">
        <f>'Параметры'!$C$10*'Параметры'!$C$9</f>
        <v>23</v>
      </c>
      <c r="L123" s="25">
        <f>K123-H123</f>
        <v>-60.5</v>
      </c>
      <c r="M123" s="24">
        <f>'Параметры'!$C$10*'Параметры'!$C$9*100/'Параметры'!$C$6/E123/'Параметры'!$C$8</f>
        <v>0.1377245508982036</v>
      </c>
    </row>
    <row r="124">
      <c r="A124" s="26" t="inlineStr">
        <is>
          <t>ИТОГО</t>
        </is>
      </c>
      <c r="B124" s="15" t="inlineStr"/>
      <c r="C124" s="16">
        <f>COUNTA(C2:C123)</f>
        <v>122</v>
      </c>
      <c r="D124" s="16">
        <f>SUM(D2:D123)</f>
        <v>657579</v>
      </c>
      <c r="E124" s="27">
        <f>SUM(E2:E123)</f>
        <v>177729.15999999997</v>
      </c>
      <c r="F124" s="15" t="inlineStr"/>
      <c r="G124" s="28">
        <f>SUM(G2:G123)</f>
        <v>88864.57999999999</v>
      </c>
      <c r="H124" s="28">
        <f>SUM(H2:H123)</f>
        <v>8886.457999999995</v>
      </c>
      <c r="I124" s="27">
        <f>SUM(I2:I123)</f>
        <v>386.3677391304343</v>
      </c>
      <c r="J124" s="16">
        <f>SUM(J2:J123)</f>
        <v>453</v>
      </c>
      <c r="K124" s="28">
        <f>SUM(K2:K123)</f>
        <v>2806</v>
      </c>
      <c r="L124" s="28">
        <f>SUM(L2:L123)</f>
        <v>-6080.457999999995</v>
      </c>
      <c r="M124" s="29">
        <f>'Параметры'!$C$10*'Параметры'!$C$9*100/'Параметры'!$C$6/(E124/C124)/'Параметры'!$C$8</f>
        <v>0.15788067641798342</v>
      </c>
    </row>
    <row r="126">
      <c r="A126" s="5" t="inlineStr">
        <is>
          <t>Источник: объем (м³) и площадь (м²) каждого корпуса — по ведомости заказчика (фото технического паспорта). Столбцы F–M рассчитываются формулами от листа «Параметры».</t>
        </is>
      </c>
    </row>
  </sheetData>
  <autoFilter ref="A1:M123"/>
  <mergeCells count="1">
    <mergeCell ref="A126:M1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3" customWidth="1" min="3" max="3"/>
    <col width="12" customWidth="1" min="4" max="4"/>
    <col width="13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СВОДКА ПОТРЕБНОСТИ В ДЕЗСРЕДСТВЕ «ФОСНИТАЦИД» ПО ПЛОЩАДКАМ</t>
        </is>
      </c>
    </row>
    <row r="2">
      <c r="A2" s="2" t="inlineStr">
        <is>
          <t>на одну обработку по графику санразрыва</t>
        </is>
      </c>
    </row>
    <row r="4" ht="50" customHeight="1">
      <c r="A4" s="11" t="inlineStr">
        <is>
          <t>Площадка</t>
        </is>
      </c>
      <c r="B4" s="11" t="inlineStr">
        <is>
          <t>Кол-во корпусов, шт</t>
        </is>
      </c>
      <c r="C4" s="11" t="inlineStr">
        <is>
          <t>Общая площадь, м²</t>
        </is>
      </c>
      <c r="D4" s="11" t="inlineStr">
        <is>
          <t>Общий объем, м³</t>
        </is>
      </c>
      <c r="E4" s="11" t="inlineStr">
        <is>
          <t>Рабочий раствор, л</t>
        </is>
      </c>
      <c r="F4" s="11" t="inlineStr">
        <is>
          <t>Потребность концентрата, л</t>
        </is>
      </c>
      <c r="G4" s="11" t="inlineStr">
        <is>
          <t>Требуется канистр, шт</t>
        </is>
      </c>
      <c r="H4" s="11" t="inlineStr">
        <is>
          <t>Выдается сейчас, канистр</t>
        </is>
      </c>
      <c r="I4" s="11" t="inlineStr">
        <is>
          <t>Выдается сейчас, л</t>
        </is>
      </c>
      <c r="J4" s="11" t="inlineStr">
        <is>
          <t>Отклонение, л</t>
        </is>
      </c>
      <c r="K4" s="11" t="inlineStr">
        <is>
          <t>Отклонение, канистр</t>
        </is>
      </c>
    </row>
    <row r="5">
      <c r="A5" s="30" t="inlineStr">
        <is>
          <t>Г</t>
        </is>
      </c>
      <c r="B5" s="13">
        <f>COUNTIF('Расчет по корпусам'!$A$2:$A$123,$A5)</f>
        <v>20</v>
      </c>
      <c r="C5" s="23">
        <f>SUMIF('Расчет по корпусам'!$A$2:$A$123,$A5,'Расчет по корпусам'!$E$2:$E$123)</f>
        <v>29891.959999999995</v>
      </c>
      <c r="D5" s="13">
        <f>SUMIF('Расчет по корпусам'!$A$2:$A$123,$A5,'Расчет по корпусам'!$D$2:$D$123)</f>
        <v>89805</v>
      </c>
      <c r="E5" s="25">
        <f>C5*'Параметры'!$C$7*'Параметры'!$C$8</f>
        <v>14945.979999999998</v>
      </c>
      <c r="F5" s="25">
        <f>E5*'Параметры'!$C$6/100</f>
        <v>1494.598</v>
      </c>
      <c r="G5" s="13">
        <f>SUMIF('Расчет по корпусам'!$A$2:$A$123,$A5,'Расчет по корпусам'!$J$2:$J$123)</f>
        <v>80</v>
      </c>
      <c r="H5" s="25">
        <f>B5*'Параметры'!$C$10</f>
        <v>20</v>
      </c>
      <c r="I5" s="25">
        <f>H5*'Параметры'!$C$9</f>
        <v>460</v>
      </c>
      <c r="J5" s="25">
        <f>I5-F5</f>
        <v>-1034.598</v>
      </c>
      <c r="K5" s="25">
        <f>H5-G5</f>
        <v>-60</v>
      </c>
    </row>
    <row r="6">
      <c r="A6" s="30" t="inlineStr">
        <is>
          <t>Д</t>
        </is>
      </c>
      <c r="B6" s="13">
        <f>COUNTIF('Расчет по корпусам'!$A$2:$A$123,$A6)</f>
        <v>16</v>
      </c>
      <c r="C6" s="23">
        <f>SUMIF('Расчет по корпусам'!$A$2:$A$123,$A6,'Расчет по корпусам'!$E$2:$E$123)</f>
        <v>24458.300000000003</v>
      </c>
      <c r="D6" s="13">
        <f>SUMIF('Расчет по корпусам'!$A$2:$A$123,$A6,'Расчет по корпусам'!$D$2:$D$123)</f>
        <v>73350</v>
      </c>
      <c r="E6" s="25">
        <f>C6*'Параметры'!$C$7*'Параметры'!$C$8</f>
        <v>12229.150000000001</v>
      </c>
      <c r="F6" s="25">
        <f>E6*'Параметры'!$C$6/100</f>
        <v>1222.9150000000002</v>
      </c>
      <c r="G6" s="13">
        <f>SUMIF('Расчет по корпусам'!$A$2:$A$123,$A6,'Расчет по корпусам'!$J$2:$J$123)</f>
        <v>64</v>
      </c>
      <c r="H6" s="25">
        <f>B6*'Параметры'!$C$10</f>
        <v>16</v>
      </c>
      <c r="I6" s="25">
        <f>H6*'Параметры'!$C$9</f>
        <v>368</v>
      </c>
      <c r="J6" s="25">
        <f>I6-F6</f>
        <v>-854.9150000000002</v>
      </c>
      <c r="K6" s="25">
        <f>H6-G6</f>
        <v>-48</v>
      </c>
    </row>
    <row r="7">
      <c r="A7" s="30" t="inlineStr">
        <is>
          <t>БП-14</t>
        </is>
      </c>
      <c r="B7" s="13">
        <f>COUNTIF('Расчет по корпусам'!$A$2:$A$123,$A7)</f>
        <v>12</v>
      </c>
      <c r="C7" s="23">
        <f>SUMIF('Расчет по корпусам'!$A$2:$A$123,$A7,'Расчет по корпусам'!$E$2:$E$123)</f>
        <v>20040</v>
      </c>
      <c r="D7" s="13">
        <f>SUMIF('Расчет по корпусам'!$A$2:$A$123,$A7,'Расчет по корпусам'!$D$2:$D$123)</f>
        <v>90720</v>
      </c>
      <c r="E7" s="25">
        <f>C7*'Параметры'!$C$7*'Параметры'!$C$8</f>
        <v>10020</v>
      </c>
      <c r="F7" s="25">
        <f>E7*'Параметры'!$C$6/100</f>
        <v>1002</v>
      </c>
      <c r="G7" s="13">
        <f>SUMIF('Расчет по корпусам'!$A$2:$A$123,$A7,'Расчет по корпусам'!$J$2:$J$123)</f>
        <v>48</v>
      </c>
      <c r="H7" s="25">
        <f>B7*'Параметры'!$C$10</f>
        <v>12</v>
      </c>
      <c r="I7" s="25">
        <f>H7*'Параметры'!$C$9</f>
        <v>276</v>
      </c>
      <c r="J7" s="25">
        <f>I7-F7</f>
        <v>-726</v>
      </c>
      <c r="K7" s="25">
        <f>H7-G7</f>
        <v>-36</v>
      </c>
    </row>
    <row r="8">
      <c r="A8" s="30" t="inlineStr">
        <is>
          <t>А</t>
        </is>
      </c>
      <c r="B8" s="13">
        <f>COUNTIF('Расчет по корпусам'!$A$2:$A$123,$A8)</f>
        <v>10</v>
      </c>
      <c r="C8" s="23">
        <f>SUMIF('Расчет по корпусам'!$A$2:$A$123,$A8,'Расчет по корпусам'!$E$2:$E$123)</f>
        <v>10867.800000000001</v>
      </c>
      <c r="D8" s="13">
        <f>SUMIF('Расчет по корпусам'!$A$2:$A$123,$A8,'Расчет по корпусам'!$D$2:$D$123)</f>
        <v>32832</v>
      </c>
      <c r="E8" s="25">
        <f>C8*'Параметры'!$C$7*'Параметры'!$C$8</f>
        <v>5433.900000000001</v>
      </c>
      <c r="F8" s="25">
        <f>E8*'Параметры'!$C$6/100</f>
        <v>543.3900000000001</v>
      </c>
      <c r="G8" s="13">
        <f>SUMIF('Расчет по корпусам'!$A$2:$A$123,$A8,'Расчет по корпусам'!$J$2:$J$123)</f>
        <v>30</v>
      </c>
      <c r="H8" s="25">
        <f>B8*'Параметры'!$C$10</f>
        <v>10</v>
      </c>
      <c r="I8" s="25">
        <f>H8*'Параметры'!$C$9</f>
        <v>230</v>
      </c>
      <c r="J8" s="25">
        <f>I8-F8</f>
        <v>-313.3900000000001</v>
      </c>
      <c r="K8" s="25">
        <f>H8-G8</f>
        <v>-20</v>
      </c>
    </row>
    <row r="9">
      <c r="A9" s="30" t="inlineStr">
        <is>
          <t>Б</t>
        </is>
      </c>
      <c r="B9" s="13">
        <f>COUNTIF('Расчет по корпусам'!$A$2:$A$123,$A9)</f>
        <v>10</v>
      </c>
      <c r="C9" s="23">
        <f>SUMIF('Расчет по корпусам'!$A$2:$A$123,$A9,'Расчет по корпусам'!$E$2:$E$123)</f>
        <v>11217.9</v>
      </c>
      <c r="D9" s="13">
        <f>SUMIF('Расчет по корпусам'!$A$2:$A$123,$A9,'Расчет по корпусам'!$D$2:$D$123)</f>
        <v>33696</v>
      </c>
      <c r="E9" s="25">
        <f>C9*'Параметры'!$C$7*'Параметры'!$C$8</f>
        <v>5608.95</v>
      </c>
      <c r="F9" s="25">
        <f>E9*'Параметры'!$C$6/100</f>
        <v>560.895</v>
      </c>
      <c r="G9" s="13">
        <f>SUMIF('Расчет по корпусам'!$A$2:$A$123,$A9,'Расчет по корпусам'!$J$2:$J$123)</f>
        <v>30</v>
      </c>
      <c r="H9" s="25">
        <f>B9*'Параметры'!$C$10</f>
        <v>10</v>
      </c>
      <c r="I9" s="25">
        <f>H9*'Параметры'!$C$9</f>
        <v>230</v>
      </c>
      <c r="J9" s="25">
        <f>I9-F9</f>
        <v>-330.895</v>
      </c>
      <c r="K9" s="25">
        <f>H9-G9</f>
        <v>-20</v>
      </c>
    </row>
    <row r="10">
      <c r="A10" s="30" t="inlineStr">
        <is>
          <t>Е</t>
        </is>
      </c>
      <c r="B10" s="13">
        <f>COUNTIF('Расчет по корпусам'!$A$2:$A$123,$A10)</f>
        <v>10</v>
      </c>
      <c r="C10" s="23">
        <f>SUMIF('Расчет по корпусам'!$A$2:$A$123,$A10,'Расчет по корпусам'!$E$2:$E$123)</f>
        <v>10928.3</v>
      </c>
      <c r="D10" s="13">
        <f>SUMIF('Расчет по корпусам'!$A$2:$A$123,$A10,'Расчет по корпусам'!$D$2:$D$123)</f>
        <v>32832</v>
      </c>
      <c r="E10" s="25">
        <f>C10*'Параметры'!$C$7*'Параметры'!$C$8</f>
        <v>5464.15</v>
      </c>
      <c r="F10" s="25">
        <f>E10*'Параметры'!$C$6/100</f>
        <v>546.415</v>
      </c>
      <c r="G10" s="13">
        <f>SUMIF('Расчет по корпусам'!$A$2:$A$123,$A10,'Расчет по корпусам'!$J$2:$J$123)</f>
        <v>30</v>
      </c>
      <c r="H10" s="25">
        <f>B10*'Параметры'!$C$10</f>
        <v>10</v>
      </c>
      <c r="I10" s="25">
        <f>H10*'Параметры'!$C$9</f>
        <v>230</v>
      </c>
      <c r="J10" s="25">
        <f>I10-F10</f>
        <v>-316.41499999999996</v>
      </c>
      <c r="K10" s="25">
        <f>H10-G10</f>
        <v>-20</v>
      </c>
    </row>
    <row r="11">
      <c r="A11" s="30" t="inlineStr">
        <is>
          <t>Ж</t>
        </is>
      </c>
      <c r="B11" s="13">
        <f>COUNTIF('Расчет по корпусам'!$A$2:$A$123,$A11)</f>
        <v>5</v>
      </c>
      <c r="C11" s="23">
        <f>SUMIF('Расчет по корпусам'!$A$2:$A$123,$A11,'Расчет по корпусам'!$E$2:$E$123)</f>
        <v>5614.9</v>
      </c>
      <c r="D11" s="13">
        <f>SUMIF('Расчет по корпусам'!$A$2:$A$123,$A11,'Расчет по корпусам'!$D$2:$D$123)</f>
        <v>17280</v>
      </c>
      <c r="E11" s="25">
        <f>C11*'Параметры'!$C$7*'Параметры'!$C$8</f>
        <v>2807.45</v>
      </c>
      <c r="F11" s="25">
        <f>E11*'Параметры'!$C$6/100</f>
        <v>280.745</v>
      </c>
      <c r="G11" s="13">
        <f>SUMIF('Расчет по корпусам'!$A$2:$A$123,$A11,'Расчет по корпусам'!$J$2:$J$123)</f>
        <v>15</v>
      </c>
      <c r="H11" s="25">
        <f>B11*'Параметры'!$C$10</f>
        <v>5</v>
      </c>
      <c r="I11" s="25">
        <f>H11*'Параметры'!$C$9</f>
        <v>115</v>
      </c>
      <c r="J11" s="25">
        <f>I11-F11</f>
        <v>-165.745</v>
      </c>
      <c r="K11" s="25">
        <f>H11-G11</f>
        <v>-10</v>
      </c>
    </row>
    <row r="12">
      <c r="A12" s="30" t="inlineStr">
        <is>
          <t>БП-13</t>
        </is>
      </c>
      <c r="B12" s="13">
        <f>COUNTIF('Расчет по корпусам'!$A$2:$A$123,$A12)</f>
        <v>12</v>
      </c>
      <c r="C12" s="23">
        <f>SUMIF('Расчет по корпусам'!$A$2:$A$123,$A12,'Расчет по корпусам'!$E$2:$E$123)</f>
        <v>20040</v>
      </c>
      <c r="D12" s="13">
        <f>SUMIF('Расчет по корпусам'!$A$2:$A$123,$A12,'Расчет по корпусам'!$D$2:$D$123)</f>
        <v>90720</v>
      </c>
      <c r="E12" s="25">
        <f>C12*'Параметры'!$C$7*'Параметры'!$C$8</f>
        <v>10020</v>
      </c>
      <c r="F12" s="25">
        <f>E12*'Параметры'!$C$6/100</f>
        <v>1002</v>
      </c>
      <c r="G12" s="13">
        <f>SUMIF('Расчет по корпусам'!$A$2:$A$123,$A12,'Расчет по корпусам'!$J$2:$J$123)</f>
        <v>48</v>
      </c>
      <c r="H12" s="25">
        <f>B12*'Параметры'!$C$10</f>
        <v>12</v>
      </c>
      <c r="I12" s="25">
        <f>H12*'Параметры'!$C$9</f>
        <v>276</v>
      </c>
      <c r="J12" s="25">
        <f>I12-F12</f>
        <v>-726</v>
      </c>
      <c r="K12" s="25">
        <f>H12-G12</f>
        <v>-36</v>
      </c>
    </row>
    <row r="13">
      <c r="A13" s="30" t="inlineStr">
        <is>
          <t>В</t>
        </is>
      </c>
      <c r="B13" s="13">
        <f>COUNTIF('Расчет по корпусам'!$A$2:$A$123,$A13)</f>
        <v>15</v>
      </c>
      <c r="C13" s="23">
        <f>SUMIF('Расчет по корпусам'!$A$2:$A$123,$A13,'Расчет по корпусам'!$E$2:$E$123)</f>
        <v>24630</v>
      </c>
      <c r="D13" s="13">
        <f>SUMIF('Расчет по корпусам'!$A$2:$A$123,$A13,'Расчет по корпусам'!$D$2:$D$123)</f>
        <v>105624</v>
      </c>
      <c r="E13" s="25">
        <f>C13*'Параметры'!$C$7*'Параметры'!$C$8</f>
        <v>12315</v>
      </c>
      <c r="F13" s="25">
        <f>E13*'Параметры'!$C$6/100</f>
        <v>1231.5</v>
      </c>
      <c r="G13" s="13">
        <f>SUMIF('Расчет по корпусам'!$A$2:$A$123,$A13,'Расчет по корпусам'!$J$2:$J$123)</f>
        <v>60</v>
      </c>
      <c r="H13" s="25">
        <f>B13*'Параметры'!$C$10</f>
        <v>15</v>
      </c>
      <c r="I13" s="25">
        <f>H13*'Параметры'!$C$9</f>
        <v>345</v>
      </c>
      <c r="J13" s="25">
        <f>I13-F13</f>
        <v>-886.5</v>
      </c>
      <c r="K13" s="25">
        <f>H13-G13</f>
        <v>-45</v>
      </c>
    </row>
    <row r="14">
      <c r="A14" s="30" t="inlineStr">
        <is>
          <t>БП-12</t>
        </is>
      </c>
      <c r="B14" s="13">
        <f>COUNTIF('Расчет по корпусам'!$A$2:$A$123,$A14)</f>
        <v>12</v>
      </c>
      <c r="C14" s="23">
        <f>SUMIF('Расчет по корпусам'!$A$2:$A$123,$A14,'Расчет по корпусам'!$E$2:$E$123)</f>
        <v>20040</v>
      </c>
      <c r="D14" s="13">
        <f>SUMIF('Расчет по корпусам'!$A$2:$A$123,$A14,'Расчет по корпусам'!$D$2:$D$123)</f>
        <v>90720</v>
      </c>
      <c r="E14" s="25">
        <f>C14*'Параметры'!$C$7*'Параметры'!$C$8</f>
        <v>10020</v>
      </c>
      <c r="F14" s="25">
        <f>E14*'Параметры'!$C$6/100</f>
        <v>1002</v>
      </c>
      <c r="G14" s="13">
        <f>SUMIF('Расчет по корпусам'!$A$2:$A$123,$A14,'Расчет по корпусам'!$J$2:$J$123)</f>
        <v>48</v>
      </c>
      <c r="H14" s="25">
        <f>B14*'Параметры'!$C$10</f>
        <v>12</v>
      </c>
      <c r="I14" s="25">
        <f>H14*'Параметры'!$C$9</f>
        <v>276</v>
      </c>
      <c r="J14" s="25">
        <f>I14-F14</f>
        <v>-726</v>
      </c>
      <c r="K14" s="25">
        <f>H14-G14</f>
        <v>-36</v>
      </c>
    </row>
    <row r="15">
      <c r="A15" s="26" t="inlineStr">
        <is>
          <t>ИТОГО</t>
        </is>
      </c>
      <c r="B15" s="16">
        <f>SUM(B5:B14)</f>
        <v>122</v>
      </c>
      <c r="C15" s="27">
        <f>SUM(C5:C14)</f>
        <v>177729.15999999997</v>
      </c>
      <c r="D15" s="16">
        <f>SUM(D5:D14)</f>
        <v>657579</v>
      </c>
      <c r="E15" s="28">
        <f>SUM(E5:E14)</f>
        <v>88864.57999999999</v>
      </c>
      <c r="F15" s="28">
        <f>SUM(F5:F14)</f>
        <v>8886.458</v>
      </c>
      <c r="G15" s="16">
        <f>SUM(G5:G14)</f>
        <v>453</v>
      </c>
      <c r="H15" s="28">
        <f>SUM(H5:H14)</f>
        <v>122</v>
      </c>
      <c r="I15" s="28">
        <f>SUM(I5:I14)</f>
        <v>2806</v>
      </c>
      <c r="J15" s="28">
        <f>SUM(J5:J14)</f>
        <v>-6080.4580000000005</v>
      </c>
      <c r="K15" s="28">
        <f>SUM(K5:K14)</f>
        <v>-331</v>
      </c>
    </row>
    <row r="17">
      <c r="A17" s="9" t="inlineStr">
        <is>
          <t>КЛЮЧЕВЫЕ ПОКАЗАТЕЛИ</t>
        </is>
      </c>
    </row>
    <row r="18">
      <c r="A18" s="3" t="inlineStr">
        <is>
          <t>Всего корпусов, шт</t>
        </is>
      </c>
      <c r="D18" s="16">
        <f>B15</f>
        <v>122</v>
      </c>
    </row>
    <row r="19">
      <c r="A19" s="3" t="inlineStr">
        <is>
          <t>Общая обрабатываемая площадь, м²</t>
        </is>
      </c>
      <c r="D19" s="27">
        <f>C15</f>
        <v>177729.15999999997</v>
      </c>
    </row>
    <row r="20">
      <c r="A20" s="3" t="inlineStr">
        <is>
          <t>Потребность рабочего раствора на 1 обработку, л</t>
        </is>
      </c>
      <c r="D20" s="28">
        <f>E15</f>
        <v>88864.57999999999</v>
      </c>
    </row>
    <row r="21">
      <c r="A21" s="3" t="inlineStr">
        <is>
          <t>ПОТРЕБНОСТЬ КОНЦЕНТРАТА НА 1 ОБРАБОТКУ, л</t>
        </is>
      </c>
      <c r="D21" s="28">
        <f>F15</f>
        <v>8886.458</v>
      </c>
    </row>
    <row r="22">
      <c r="A22" s="3" t="inlineStr">
        <is>
          <t>ПОТРЕБНОСТЬ, КАНИСТР (округление по каждому корпусу)</t>
        </is>
      </c>
      <c r="D22" s="16">
        <f>G15</f>
        <v>453</v>
      </c>
    </row>
    <row r="23">
      <c r="A23" s="3" t="inlineStr">
        <is>
          <t>Выдается сейчас (1 канистра на корпус), л</t>
        </is>
      </c>
      <c r="D23" s="28">
        <f>I15</f>
        <v>2806</v>
      </c>
    </row>
    <row r="24">
      <c r="A24" s="3" t="inlineStr">
        <is>
          <t>Дефицит (−) / излишек (+) при текущей выдаче, л</t>
        </is>
      </c>
      <c r="D24" s="28">
        <f>I15-F15</f>
        <v>-6080.4580000000005</v>
      </c>
    </row>
    <row r="25">
      <c r="A25" s="3" t="inlineStr">
        <is>
          <t>Дефицит (−) / излишек (+) при текущей выдаче, канистр</t>
        </is>
      </c>
      <c r="D25" s="28">
        <f>H15-G15</f>
        <v>-331</v>
      </c>
    </row>
    <row r="26">
      <c r="A26" s="3" t="inlineStr">
        <is>
          <t>Средняя площадь одного корпуса, м²</t>
        </is>
      </c>
      <c r="D26" s="27">
        <f>C15/B15</f>
        <v>1456.7963934426227</v>
      </c>
    </row>
    <row r="27">
      <c r="A27" s="3" t="inlineStr">
        <is>
          <t>Норма, фактически покрываемая 1 канистрой (в среднем), л/м²</t>
        </is>
      </c>
      <c r="D27" s="29">
        <f>'Параметры'!$C$10*'Параметры'!$C$9*100/'Параметры'!$C$6/(C15/B15)/'Параметры'!$C$8</f>
        <v>0.15788067641798342</v>
      </c>
    </row>
  </sheetData>
  <mergeCells count="10">
    <mergeCell ref="A25:C25"/>
    <mergeCell ref="A19:C19"/>
    <mergeCell ref="A23:C23"/>
    <mergeCell ref="A22:C22"/>
    <mergeCell ref="A18:C18"/>
    <mergeCell ref="A27:C27"/>
    <mergeCell ref="A21:C21"/>
    <mergeCell ref="A26:C26"/>
    <mergeCell ref="A20:C20"/>
    <mergeCell ref="A24:C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4" customWidth="1" min="3" max="3"/>
    <col width="17" customWidth="1" min="4" max="4"/>
    <col width="14" customWidth="1" min="5" max="5"/>
    <col width="14" customWidth="1" min="6" max="6"/>
    <col width="56" customWidth="1" min="7" max="7"/>
  </cols>
  <sheetData>
    <row r="1">
      <c r="A1" s="1" t="inlineStr">
        <is>
          <t>СЦЕНАРИИ: сколько нужно Фоснитацида при разных нормах расхода</t>
        </is>
      </c>
    </row>
    <row r="2">
      <c r="A2" s="2" t="inlineStr">
        <is>
          <t>Норма расхода рабочего раствора на 1 м² — единственный параметр, не заданный в исходных данных. Ниже — потребность на одну обработку всех корпусов при типовых нормах.</t>
        </is>
      </c>
    </row>
    <row r="4" ht="50" customHeight="1">
      <c r="A4" s="11" t="inlineStr">
        <is>
          <t>Норма расхода, л/м²</t>
        </is>
      </c>
      <c r="B4" s="11" t="inlineStr">
        <is>
          <t>Рабочий раствор всего, л</t>
        </is>
      </c>
      <c r="C4" s="11" t="inlineStr">
        <is>
          <t>Концентрат всего, л</t>
        </is>
      </c>
      <c r="D4" s="11" t="inlineStr">
        <is>
          <t>Канистр всего (округл. по корпусам), шт</t>
        </is>
      </c>
      <c r="E4" s="11" t="inlineStr">
        <is>
          <t>Выдается сейчас, канистр</t>
        </is>
      </c>
      <c r="F4" s="11" t="inlineStr">
        <is>
          <t>Отклонение, канистр</t>
        </is>
      </c>
      <c r="G4" s="11" t="inlineStr">
        <is>
          <t>Комментарий</t>
        </is>
      </c>
    </row>
    <row r="5">
      <c r="A5" s="24" t="n">
        <v>0.15</v>
      </c>
      <c r="B5" s="25">
        <f>'Расчет по корпусам'!$E$124*A5*'Параметры'!$C$8</f>
        <v>26659.373999999996</v>
      </c>
      <c r="C5" s="25">
        <f>B5*'Параметры'!$C$6/100</f>
        <v>2665.9374</v>
      </c>
      <c r="D5" s="13">
        <f>SUMPRODUCT(ROUNDUP('Расчет по корпусам'!$E$2:$E$123*$A5*'Параметры'!$C$8*'Параметры'!$C$6/100/'Параметры'!$C$9,0))</f>
        <v>177</v>
      </c>
      <c r="E5" s="13">
        <f>'Расчет по корпусам'!$C$124*'Параметры'!$C$10</f>
        <v>122</v>
      </c>
      <c r="F5" s="13">
        <f>E5-D5</f>
        <v>-55</v>
      </c>
      <c r="G5" s="12" t="inlineStr">
        <is>
          <t>Ориентировочно соответствует текущей выдаче 1 канистры на корпус</t>
        </is>
      </c>
    </row>
    <row r="6">
      <c r="A6" s="24" t="n">
        <v>0.2</v>
      </c>
      <c r="B6" s="25">
        <f>'Расчет по корпусам'!$E$124*A6*'Параметры'!$C$8</f>
        <v>35545.831999999995</v>
      </c>
      <c r="C6" s="25">
        <f>B6*'Параметры'!$C$6/100</f>
        <v>3554.5831999999996</v>
      </c>
      <c r="D6" s="13">
        <f>SUMPRODUCT(ROUNDUP('Расчет по корпусам'!$E$2:$E$123*$A6*'Параметры'!$C$8*'Параметры'!$C$6/100/'Параметры'!$C$9,0))</f>
        <v>213</v>
      </c>
      <c r="E6" s="13">
        <f>'Расчет по корпусам'!$C$124*'Параметры'!$C$10</f>
        <v>122</v>
      </c>
      <c r="F6" s="13">
        <f>E6-D6</f>
        <v>-91</v>
      </c>
      <c r="G6" s="12" t="inlineStr">
        <is>
          <t>Аэрозольная / мелкокапельная обработка</t>
        </is>
      </c>
    </row>
    <row r="7">
      <c r="A7" s="24" t="n">
        <v>0.25</v>
      </c>
      <c r="B7" s="25">
        <f>'Расчет по корпусам'!$E$124*A7*'Параметры'!$C$8</f>
        <v>44432.28999999999</v>
      </c>
      <c r="C7" s="25">
        <f>B7*'Параметры'!$C$6/100</f>
        <v>4443.228999999999</v>
      </c>
      <c r="D7" s="13">
        <f>SUMPRODUCT(ROUNDUP('Расчет по корпусам'!$E$2:$E$123*$A7*'Параметры'!$C$8*'Параметры'!$C$6/100/'Параметры'!$C$9,0))</f>
        <v>244</v>
      </c>
      <c r="E7" s="13">
        <f>'Расчет по корпусам'!$C$124*'Параметры'!$C$10</f>
        <v>122</v>
      </c>
      <c r="F7" s="13">
        <f>E7-D7</f>
        <v>-122</v>
      </c>
      <c r="G7" s="12" t="inlineStr">
        <is>
          <t>Аэрозольная обработка, усиленный режим</t>
        </is>
      </c>
    </row>
    <row r="8">
      <c r="A8" s="24" t="n">
        <v>0.3</v>
      </c>
      <c r="B8" s="25">
        <f>'Расчет по корпусам'!$E$124*A8*'Параметры'!$C$8</f>
        <v>53318.74799999999</v>
      </c>
      <c r="C8" s="25">
        <f>B8*'Параметры'!$C$6/100</f>
        <v>5331.8748</v>
      </c>
      <c r="D8" s="13">
        <f>SUMPRODUCT(ROUNDUP('Расчет по корпусам'!$E$2:$E$123*$A8*'Параметры'!$C$8*'Параметры'!$C$6/100/'Параметры'!$C$9,0))</f>
        <v>299</v>
      </c>
      <c r="E8" s="13">
        <f>'Расчет по корпусам'!$C$124*'Параметры'!$C$10</f>
        <v>122</v>
      </c>
      <c r="F8" s="13">
        <f>E8-D8</f>
        <v>-177</v>
      </c>
      <c r="G8" s="12" t="inlineStr">
        <is>
          <t>Влажная дезинфекция, минимальный режим</t>
        </is>
      </c>
    </row>
    <row r="9">
      <c r="A9" s="29" t="n">
        <v>0.5</v>
      </c>
      <c r="B9" s="28">
        <f>'Расчет по корпусам'!$E$124*A9*'Параметры'!$C$8</f>
        <v>88864.57999999999</v>
      </c>
      <c r="C9" s="28">
        <f>B9*'Параметры'!$C$6/100</f>
        <v>8886.457999999999</v>
      </c>
      <c r="D9" s="16">
        <f>SUMPRODUCT(ROUNDUP('Расчет по корпусам'!$E$2:$E$123*$A9*'Параметры'!$C$8*'Параметры'!$C$6/100/'Параметры'!$C$9,0))</f>
        <v>453</v>
      </c>
      <c r="E9" s="16">
        <f>'Расчет по корпусам'!$C$124*'Параметры'!$C$10</f>
        <v>122</v>
      </c>
      <c r="F9" s="16">
        <f>E9-D9</f>
        <v>-331</v>
      </c>
      <c r="G9" s="14" t="inlineStr">
        <is>
          <t>Влажная дезинфекция гладких поверхностей — принято в расчете</t>
        </is>
      </c>
    </row>
    <row r="10">
      <c r="A10" s="24" t="n">
        <v>1</v>
      </c>
      <c r="B10" s="25">
        <f>'Расчет по корпусам'!$E$124*A10*'Параметры'!$C$8</f>
        <v>177729.15999999997</v>
      </c>
      <c r="C10" s="25">
        <f>B10*'Параметры'!$C$6/100</f>
        <v>17772.915999999997</v>
      </c>
      <c r="D10" s="13">
        <f>SUMPRODUCT(ROUNDUP('Расчет по корпусам'!$E$2:$E$123*$A10*'Параметры'!$C$8*'Параметры'!$C$6/100/'Параметры'!$C$9,0))</f>
        <v>836</v>
      </c>
      <c r="E10" s="13">
        <f>'Расчет по корпусам'!$C$124*'Параметры'!$C$10</f>
        <v>122</v>
      </c>
      <c r="F10" s="13">
        <f>E10-D10</f>
        <v>-714</v>
      </c>
      <c r="G10" s="12" t="inlineStr">
        <is>
          <t>Влажная дезинфекция шероховатых поверхностей / двукратная обработка</t>
        </is>
      </c>
    </row>
    <row r="12">
      <c r="A12" s="9" t="inlineStr">
        <is>
          <t>ОБРАТНЫЙ РАСЧЕТ</t>
        </is>
      </c>
    </row>
    <row r="13">
      <c r="A13" s="3" t="inlineStr">
        <is>
          <t>Норма расхода, которую фактически покрывает 1 канистра (23 л), в среднем по хозяйству, л/м²</t>
        </is>
      </c>
      <c r="G13" s="29">
        <f>'Параметры'!$C$10*'Параметры'!$C$9*100/'Параметры'!$C$6/('Расчет по корпусам'!$E$124/'Расчет по корпусам'!$C$124)/'Параметры'!$C$8</f>
        <v>0.15788067641798342</v>
      </c>
    </row>
    <row r="14">
      <c r="A14" s="3" t="inlineStr">
        <is>
          <t>Средняя площадь одного корпуса, м²</t>
        </is>
      </c>
      <c r="G14" s="27">
        <f>'Расчет по корпусам'!$E$124/'Расчет по корпусам'!$C$124</f>
        <v>1456.7963934426227</v>
      </c>
    </row>
    <row r="15">
      <c r="A15" s="3" t="inlineStr">
        <is>
          <t>Минимальная площадь корпуса, м² (участок №9 «А»)</t>
        </is>
      </c>
      <c r="G15" s="27">
        <f>MIN('Расчет по корпусам'!$E$2:$E$123)</f>
        <v>1061.5</v>
      </c>
    </row>
    <row r="16">
      <c r="A16" s="3" t="inlineStr">
        <is>
          <t>Максимальная площадь корпуса, м² (участки «В», «БП»)</t>
        </is>
      </c>
      <c r="G16" s="27">
        <f>MAX('Расчет по корпусам'!$E$2:$E$123)</f>
        <v>1680</v>
      </c>
    </row>
    <row r="18">
      <c r="A18" s="31" t="inlineStr">
        <is>
          <t>ВАЖНО: корпуса отличаются по площади более чем в 1,5 раза (1 061,5 м² на участке №9 «А» против 1 680 м² на «В» и 1 670 м² на «БП»). Поэтому единая выдача 1 канистры на корпус дает разную фактическую норму обработки — см. столбец M листа «Расчет по корпусам».</t>
        </is>
      </c>
    </row>
    <row r="19"/>
  </sheetData>
  <mergeCells count="6">
    <mergeCell ref="A16:F16"/>
    <mergeCell ref="A13:F13"/>
    <mergeCell ref="A14:F14"/>
    <mergeCell ref="A2:G2"/>
    <mergeCell ref="A18:G19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2026-09-14T09:50:54Z</dcterms:created>
  <dcterms:modified xsi:type="dcterms:W3CDTF">2026-09-14T09:50:54Z</dcterms:modified>
</cp:coreProperties>
</file>