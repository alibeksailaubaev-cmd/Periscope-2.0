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По корпусам" sheetId="2" state="visible" r:id="rId2"/>
    <sheet name="Параметры" sheetId="3" state="visible" r:id="rId3"/>
    <sheet name="Сценарии" sheetId="4" state="visible" r:id="rId4"/>
  </sheets>
  <definedNames>
    <definedName name="_xlnm._FilterDatabase" localSheetId="1" hidden="1">'По корпусам'!$A$4:$I$126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;[Red]-#,##0"/>
  </numFmts>
  <fonts count="12">
    <font>
      <name val="Calibri"/>
      <family val="2"/>
      <color theme="1"/>
      <sz val="11"/>
      <scheme val="minor"/>
    </font>
    <font>
      <name val="Arial"/>
      <b val="1"/>
      <color rgb="001F6F54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1F6F54"/>
      <sz val="12"/>
    </font>
    <font>
      <name val="Consolas"/>
      <sz val="10"/>
    </font>
    <font>
      <name val="Arial"/>
      <sz val="11"/>
    </font>
    <font>
      <name val="Arial"/>
      <b val="1"/>
      <color rgb="00666666"/>
      <sz val="10"/>
    </font>
    <font>
      <name val="Arial"/>
      <b val="1"/>
      <color rgb="001F6F54"/>
      <sz val="20"/>
    </font>
    <font>
      <name val="Arial"/>
      <b val="1"/>
      <color rgb="00C00000"/>
      <sz val="20"/>
    </font>
  </fonts>
  <fills count="7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E8F1ED"/>
      </patternFill>
    </fill>
    <fill>
      <patternFill patternType="solid">
        <fgColor rgb="00FFF2A8"/>
      </patternFill>
    </fill>
    <fill>
      <patternFill patternType="solid">
        <fgColor rgb="00F7FAF9"/>
      </patternFill>
    </fill>
    <fill>
      <patternFill patternType="solid">
        <fgColor rgb="00FBF9F3"/>
      </patternFill>
    </fill>
  </fills>
  <borders count="6">
    <border>
      <left/>
      <right/>
      <top/>
      <bottom/>
      <diagonal/>
    </border>
    <border>
      <left style="thin">
        <color rgb="00C5D5CE"/>
      </left>
      <right style="thin">
        <color rgb="00C5D5CE"/>
      </right>
      <top style="thin">
        <color rgb="00C5D5CE"/>
      </top>
      <bottom style="thin">
        <color rgb="00C5D5CE"/>
      </bottom>
    </border>
    <border>
      <left style="thin">
        <color rgb="00C5D5CE"/>
      </left>
      <right style="thin">
        <color rgb="00C5D5CE"/>
      </right>
      <top style="medium">
        <color rgb="001F6F54"/>
      </top>
      <bottom style="thin">
        <color rgb="00C5D5CE"/>
      </bottom>
    </border>
    <border>
      <left/>
      <right/>
      <top style="thin">
        <color rgb="00C5D5CE"/>
      </top>
      <bottom/>
      <diagonal/>
    </border>
    <border>
      <left/>
      <right style="thin">
        <color rgb="00C5D5CE"/>
      </right>
      <top style="thin">
        <color rgb="00C5D5CE"/>
      </top>
      <bottom/>
      <diagonal/>
    </border>
    <border>
      <left/>
      <right style="thin">
        <color rgb="00C5D5CE"/>
      </right>
      <top style="thin">
        <color rgb="00C5D5CE"/>
      </top>
      <bottom style="thin">
        <color rgb="00C5D5CE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3" fontId="10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3" fontId="4" fillId="3" borderId="2" applyAlignment="1" pivotButton="0" quotePrefix="0" xfId="0">
      <alignment horizontal="center" vertical="center" wrapText="1"/>
    </xf>
    <xf numFmtId="165" fontId="4" fillId="3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2" fontId="8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2">
      <c r="B2" s="1" t="inlineStr">
        <is>
          <t>ФОСНИТАЦИД — ПОТРЕБНОСТЬ НА ОДНУ МОЙКУ</t>
        </is>
      </c>
    </row>
    <row r="3">
      <c r="B3" s="2" t="inlineStr">
        <is>
          <t>10 площадок, 122 корпуса. Норма мойки 0,5 л/м², раствор 10 %, канистра 23 л.</t>
        </is>
      </c>
    </row>
    <row r="5">
      <c r="B5" s="3" t="inlineStr">
        <is>
          <t>Всего корпусов</t>
        </is>
      </c>
      <c r="C5" s="4" t="n"/>
      <c r="D5" s="3" t="inlineStr">
        <is>
          <t>Общая площадь, м²</t>
        </is>
      </c>
      <c r="E5" s="4" t="n"/>
      <c r="F5" s="3" t="inlineStr">
        <is>
          <t>Нужно Фоснитацида, л</t>
        </is>
      </c>
      <c r="G5" s="4" t="n"/>
    </row>
    <row r="6" ht="30" customHeight="1">
      <c r="B6" s="5">
        <f>'По корпусам'!$C$127</f>
        <v>122</v>
      </c>
      <c r="C6" s="4" t="n"/>
      <c r="D6" s="5">
        <f>'По корпусам'!$D$127</f>
        <v>177729.15999999997</v>
      </c>
      <c r="E6" s="4" t="n"/>
      <c r="F6" s="5">
        <f>'По корпусам'!$F$127</f>
        <v>8886.457999999995</v>
      </c>
      <c r="G6" s="4" t="n"/>
    </row>
    <row r="8">
      <c r="B8" s="3" t="inlineStr">
        <is>
          <t>НУЖНО КАНИСТР</t>
        </is>
      </c>
      <c r="C8" s="4" t="n"/>
      <c r="D8" s="3" t="inlineStr">
        <is>
          <t>Выдаётся сейчас, канистр</t>
        </is>
      </c>
      <c r="E8" s="4" t="n"/>
      <c r="F8" s="3" t="inlineStr">
        <is>
          <t>НЕ ХВАТАЕТ, канистр</t>
        </is>
      </c>
      <c r="G8" s="4" t="n"/>
    </row>
    <row r="9" ht="30" customHeight="1">
      <c r="B9" s="5">
        <f>'По корпусам'!$G$127</f>
        <v>453</v>
      </c>
      <c r="C9" s="4" t="n"/>
      <c r="D9" s="5">
        <f>'По корпусам'!$H$127</f>
        <v>122</v>
      </c>
      <c r="E9" s="4" t="n"/>
      <c r="F9" s="6">
        <f>'По корпусам'!$I$127</f>
        <v>331</v>
      </c>
      <c r="G9" s="4" t="n"/>
    </row>
    <row r="11">
      <c r="B11" s="7" t="inlineStr">
        <is>
          <t>ПО ПЛОЩАДКАМ</t>
        </is>
      </c>
    </row>
    <row r="12" ht="40" customHeight="1">
      <c r="B12" s="8" t="inlineStr">
        <is>
          <t>Площадка</t>
        </is>
      </c>
      <c r="C12" s="8" t="inlineStr">
        <is>
          <t>Корпусов</t>
        </is>
      </c>
      <c r="D12" s="8" t="inlineStr">
        <is>
          <t>Площадь, м²</t>
        </is>
      </c>
      <c r="E12" s="8" t="inlineStr">
        <is>
          <t>Раствор, л</t>
        </is>
      </c>
      <c r="F12" s="8" t="inlineStr">
        <is>
          <t>Фоснитацид, л</t>
        </is>
      </c>
      <c r="G12" s="8" t="inlineStr">
        <is>
          <t>НУЖНО канистр</t>
        </is>
      </c>
      <c r="H12" s="8" t="inlineStr">
        <is>
          <t>Сейчас, канистр</t>
        </is>
      </c>
      <c r="I12" s="8" t="inlineStr">
        <is>
          <t>Не хватает, канистр</t>
        </is>
      </c>
    </row>
    <row r="13">
      <c r="B13" s="9" t="inlineStr">
        <is>
          <t>Г</t>
        </is>
      </c>
      <c r="C13" s="10">
        <f>COUNTIF('По корпусам'!$A$5:$A$126,$B13)</f>
        <v>20</v>
      </c>
      <c r="D13" s="10">
        <f>SUMIF('По корпусам'!$A$5:$A$126,$B13,'По корпусам'!$D$5:$D$126)</f>
        <v>29891.959999999995</v>
      </c>
      <c r="E13" s="10">
        <f>D13*'Параметры'!$C$9*'Параметры'!$C$10</f>
        <v>14945.979999999998</v>
      </c>
      <c r="F13" s="10">
        <f>E13*'Параметры'!$C$8/100</f>
        <v>1494.598</v>
      </c>
      <c r="G13" s="11">
        <f>SUMIF('По корпусам'!$A$5:$A$126,$B13,'По корпусам'!$G$5:$G$126)</f>
        <v>80</v>
      </c>
      <c r="H13" s="10">
        <f>SUMIF('По корпусам'!$A$5:$A$126,$B13,'По корпусам'!$H$5:$H$126)</f>
        <v>20</v>
      </c>
      <c r="I13" s="12">
        <f>G13-H13</f>
        <v>60</v>
      </c>
    </row>
    <row r="14">
      <c r="B14" s="13" t="inlineStr">
        <is>
          <t>Д</t>
        </is>
      </c>
      <c r="C14" s="14">
        <f>COUNTIF('По корпусам'!$A$5:$A$126,$B14)</f>
        <v>16</v>
      </c>
      <c r="D14" s="14">
        <f>SUMIF('По корпусам'!$A$5:$A$126,$B14,'По корпусам'!$D$5:$D$126)</f>
        <v>24458.300000000003</v>
      </c>
      <c r="E14" s="14">
        <f>D14*'Параметры'!$C$9*'Параметры'!$C$10</f>
        <v>12229.150000000001</v>
      </c>
      <c r="F14" s="14">
        <f>E14*'Параметры'!$C$8/100</f>
        <v>1222.9150000000002</v>
      </c>
      <c r="G14" s="15">
        <f>SUMIF('По корпусам'!$A$5:$A$126,$B14,'По корпусам'!$G$5:$G$126)</f>
        <v>64</v>
      </c>
      <c r="H14" s="14">
        <f>SUMIF('По корпусам'!$A$5:$A$126,$B14,'По корпусам'!$H$5:$H$126)</f>
        <v>16</v>
      </c>
      <c r="I14" s="16">
        <f>G14-H14</f>
        <v>48</v>
      </c>
    </row>
    <row r="15">
      <c r="B15" s="9" t="inlineStr">
        <is>
          <t>БП-14</t>
        </is>
      </c>
      <c r="C15" s="10">
        <f>COUNTIF('По корпусам'!$A$5:$A$126,$B15)</f>
        <v>12</v>
      </c>
      <c r="D15" s="10">
        <f>SUMIF('По корпусам'!$A$5:$A$126,$B15,'По корпусам'!$D$5:$D$126)</f>
        <v>20040</v>
      </c>
      <c r="E15" s="10">
        <f>D15*'Параметры'!$C$9*'Параметры'!$C$10</f>
        <v>10020</v>
      </c>
      <c r="F15" s="10">
        <f>E15*'Параметры'!$C$8/100</f>
        <v>1002</v>
      </c>
      <c r="G15" s="11">
        <f>SUMIF('По корпусам'!$A$5:$A$126,$B15,'По корпусам'!$G$5:$G$126)</f>
        <v>48</v>
      </c>
      <c r="H15" s="10">
        <f>SUMIF('По корпусам'!$A$5:$A$126,$B15,'По корпусам'!$H$5:$H$126)</f>
        <v>12</v>
      </c>
      <c r="I15" s="12">
        <f>G15-H15</f>
        <v>36</v>
      </c>
    </row>
    <row r="16">
      <c r="B16" s="13" t="inlineStr">
        <is>
          <t>А</t>
        </is>
      </c>
      <c r="C16" s="14">
        <f>COUNTIF('По корпусам'!$A$5:$A$126,$B16)</f>
        <v>10</v>
      </c>
      <c r="D16" s="14">
        <f>SUMIF('По корпусам'!$A$5:$A$126,$B16,'По корпусам'!$D$5:$D$126)</f>
        <v>10867.800000000001</v>
      </c>
      <c r="E16" s="14">
        <f>D16*'Параметры'!$C$9*'Параметры'!$C$10</f>
        <v>5433.900000000001</v>
      </c>
      <c r="F16" s="14">
        <f>E16*'Параметры'!$C$8/100</f>
        <v>543.3900000000001</v>
      </c>
      <c r="G16" s="15">
        <f>SUMIF('По корпусам'!$A$5:$A$126,$B16,'По корпусам'!$G$5:$G$126)</f>
        <v>30</v>
      </c>
      <c r="H16" s="14">
        <f>SUMIF('По корпусам'!$A$5:$A$126,$B16,'По корпусам'!$H$5:$H$126)</f>
        <v>10</v>
      </c>
      <c r="I16" s="16">
        <f>G16-H16</f>
        <v>20</v>
      </c>
    </row>
    <row r="17">
      <c r="B17" s="9" t="inlineStr">
        <is>
          <t>Б</t>
        </is>
      </c>
      <c r="C17" s="10">
        <f>COUNTIF('По корпусам'!$A$5:$A$126,$B17)</f>
        <v>10</v>
      </c>
      <c r="D17" s="10">
        <f>SUMIF('По корпусам'!$A$5:$A$126,$B17,'По корпусам'!$D$5:$D$126)</f>
        <v>11217.9</v>
      </c>
      <c r="E17" s="10">
        <f>D17*'Параметры'!$C$9*'Параметры'!$C$10</f>
        <v>5608.95</v>
      </c>
      <c r="F17" s="10">
        <f>E17*'Параметры'!$C$8/100</f>
        <v>560.895</v>
      </c>
      <c r="G17" s="11">
        <f>SUMIF('По корпусам'!$A$5:$A$126,$B17,'По корпусам'!$G$5:$G$126)</f>
        <v>30</v>
      </c>
      <c r="H17" s="10">
        <f>SUMIF('По корпусам'!$A$5:$A$126,$B17,'По корпусам'!$H$5:$H$126)</f>
        <v>10</v>
      </c>
      <c r="I17" s="12">
        <f>G17-H17</f>
        <v>20</v>
      </c>
    </row>
    <row r="18">
      <c r="B18" s="13" t="inlineStr">
        <is>
          <t>Е</t>
        </is>
      </c>
      <c r="C18" s="14">
        <f>COUNTIF('По корпусам'!$A$5:$A$126,$B18)</f>
        <v>10</v>
      </c>
      <c r="D18" s="14">
        <f>SUMIF('По корпусам'!$A$5:$A$126,$B18,'По корпусам'!$D$5:$D$126)</f>
        <v>10928.3</v>
      </c>
      <c r="E18" s="14">
        <f>D18*'Параметры'!$C$9*'Параметры'!$C$10</f>
        <v>5464.15</v>
      </c>
      <c r="F18" s="14">
        <f>E18*'Параметры'!$C$8/100</f>
        <v>546.415</v>
      </c>
      <c r="G18" s="15">
        <f>SUMIF('По корпусам'!$A$5:$A$126,$B18,'По корпусам'!$G$5:$G$126)</f>
        <v>30</v>
      </c>
      <c r="H18" s="14">
        <f>SUMIF('По корпусам'!$A$5:$A$126,$B18,'По корпусам'!$H$5:$H$126)</f>
        <v>10</v>
      </c>
      <c r="I18" s="16">
        <f>G18-H18</f>
        <v>20</v>
      </c>
    </row>
    <row r="19">
      <c r="B19" s="9" t="inlineStr">
        <is>
          <t>Ж</t>
        </is>
      </c>
      <c r="C19" s="10">
        <f>COUNTIF('По корпусам'!$A$5:$A$126,$B19)</f>
        <v>5</v>
      </c>
      <c r="D19" s="10">
        <f>SUMIF('По корпусам'!$A$5:$A$126,$B19,'По корпусам'!$D$5:$D$126)</f>
        <v>5614.9</v>
      </c>
      <c r="E19" s="10">
        <f>D19*'Параметры'!$C$9*'Параметры'!$C$10</f>
        <v>2807.45</v>
      </c>
      <c r="F19" s="10">
        <f>E19*'Параметры'!$C$8/100</f>
        <v>280.745</v>
      </c>
      <c r="G19" s="11">
        <f>SUMIF('По корпусам'!$A$5:$A$126,$B19,'По корпусам'!$G$5:$G$126)</f>
        <v>15</v>
      </c>
      <c r="H19" s="10">
        <f>SUMIF('По корпусам'!$A$5:$A$126,$B19,'По корпусам'!$H$5:$H$126)</f>
        <v>5</v>
      </c>
      <c r="I19" s="12">
        <f>G19-H19</f>
        <v>10</v>
      </c>
    </row>
    <row r="20">
      <c r="B20" s="13" t="inlineStr">
        <is>
          <t>БП-13</t>
        </is>
      </c>
      <c r="C20" s="14">
        <f>COUNTIF('По корпусам'!$A$5:$A$126,$B20)</f>
        <v>12</v>
      </c>
      <c r="D20" s="14">
        <f>SUMIF('По корпусам'!$A$5:$A$126,$B20,'По корпусам'!$D$5:$D$126)</f>
        <v>20040</v>
      </c>
      <c r="E20" s="14">
        <f>D20*'Параметры'!$C$9*'Параметры'!$C$10</f>
        <v>10020</v>
      </c>
      <c r="F20" s="14">
        <f>E20*'Параметры'!$C$8/100</f>
        <v>1002</v>
      </c>
      <c r="G20" s="15">
        <f>SUMIF('По корпусам'!$A$5:$A$126,$B20,'По корпусам'!$G$5:$G$126)</f>
        <v>48</v>
      </c>
      <c r="H20" s="14">
        <f>SUMIF('По корпусам'!$A$5:$A$126,$B20,'По корпусам'!$H$5:$H$126)</f>
        <v>12</v>
      </c>
      <c r="I20" s="16">
        <f>G20-H20</f>
        <v>36</v>
      </c>
    </row>
    <row r="21">
      <c r="B21" s="9" t="inlineStr">
        <is>
          <t>В</t>
        </is>
      </c>
      <c r="C21" s="10">
        <f>COUNTIF('По корпусам'!$A$5:$A$126,$B21)</f>
        <v>15</v>
      </c>
      <c r="D21" s="10">
        <f>SUMIF('По корпусам'!$A$5:$A$126,$B21,'По корпусам'!$D$5:$D$126)</f>
        <v>24630</v>
      </c>
      <c r="E21" s="10">
        <f>D21*'Параметры'!$C$9*'Параметры'!$C$10</f>
        <v>12315</v>
      </c>
      <c r="F21" s="10">
        <f>E21*'Параметры'!$C$8/100</f>
        <v>1231.5</v>
      </c>
      <c r="G21" s="11">
        <f>SUMIF('По корпусам'!$A$5:$A$126,$B21,'По корпусам'!$G$5:$G$126)</f>
        <v>60</v>
      </c>
      <c r="H21" s="10">
        <f>SUMIF('По корпусам'!$A$5:$A$126,$B21,'По корпусам'!$H$5:$H$126)</f>
        <v>15</v>
      </c>
      <c r="I21" s="12">
        <f>G21-H21</f>
        <v>45</v>
      </c>
    </row>
    <row r="22">
      <c r="B22" s="13" t="inlineStr">
        <is>
          <t>БП-12</t>
        </is>
      </c>
      <c r="C22" s="14">
        <f>COUNTIF('По корпусам'!$A$5:$A$126,$B22)</f>
        <v>12</v>
      </c>
      <c r="D22" s="14">
        <f>SUMIF('По корпусам'!$A$5:$A$126,$B22,'По корпусам'!$D$5:$D$126)</f>
        <v>20040</v>
      </c>
      <c r="E22" s="14">
        <f>D22*'Параметры'!$C$9*'Параметры'!$C$10</f>
        <v>10020</v>
      </c>
      <c r="F22" s="14">
        <f>E22*'Параметры'!$C$8/100</f>
        <v>1002</v>
      </c>
      <c r="G22" s="15">
        <f>SUMIF('По корпусам'!$A$5:$A$126,$B22,'По корпусам'!$G$5:$G$126)</f>
        <v>48</v>
      </c>
      <c r="H22" s="14">
        <f>SUMIF('По корпусам'!$A$5:$A$126,$B22,'По корпусам'!$H$5:$H$126)</f>
        <v>12</v>
      </c>
      <c r="I22" s="16">
        <f>G22-H22</f>
        <v>36</v>
      </c>
    </row>
    <row r="23">
      <c r="B23" s="17" t="inlineStr">
        <is>
          <t>ИТОГО</t>
        </is>
      </c>
      <c r="C23" s="18">
        <f>SUM(C13:C22)</f>
        <v>122</v>
      </c>
      <c r="D23" s="18">
        <f>SUM(D13:D22)</f>
        <v>177729.15999999997</v>
      </c>
      <c r="E23" s="18">
        <f>SUM(E13:E22)</f>
        <v>88864.57999999999</v>
      </c>
      <c r="F23" s="18">
        <f>SUM(F13:F22)</f>
        <v>8886.458</v>
      </c>
      <c r="G23" s="18">
        <f>SUM(G13:G22)</f>
        <v>453</v>
      </c>
      <c r="H23" s="18">
        <f>SUM(H13:H22)</f>
        <v>122</v>
      </c>
      <c r="I23" s="19">
        <f>G23-H23</f>
        <v>331</v>
      </c>
    </row>
    <row r="25">
      <c r="B25" s="7" t="inlineStr">
        <is>
          <t>НА ОДИН КОРПУС</t>
        </is>
      </c>
    </row>
    <row r="26" ht="40" customHeight="1">
      <c r="B26" s="8" t="inlineStr">
        <is>
          <t>Площадки</t>
        </is>
      </c>
      <c r="C26" s="8" t="inlineStr">
        <is>
          <t>Площадь корпуса, м²</t>
        </is>
      </c>
      <c r="D26" s="8" t="inlineStr">
        <is>
          <t>Фоснитацид на корпус, л</t>
        </is>
      </c>
      <c r="E26" s="8" t="inlineStr">
        <is>
          <t>Канистр на корпус</t>
        </is>
      </c>
    </row>
    <row r="27" ht="22" customHeight="1">
      <c r="B27" s="20" t="inlineStr">
        <is>
          <t>Г, Д, В, БП-12, БП-13, БП-14</t>
        </is>
      </c>
      <c r="C27" s="4" t="n"/>
      <c r="D27" s="21" t="inlineStr">
        <is>
          <t>73 – 84</t>
        </is>
      </c>
      <c r="E27" s="9" t="inlineStr">
        <is>
          <t>4</t>
        </is>
      </c>
    </row>
    <row r="28" ht="22" customHeight="1">
      <c r="B28" s="20" t="inlineStr">
        <is>
          <t>А, Б, Е, Ж</t>
        </is>
      </c>
      <c r="C28" s="4" t="n"/>
      <c r="D28" s="21" t="inlineStr">
        <is>
          <t>53 – 58</t>
        </is>
      </c>
      <c r="E28" s="9" t="inlineStr">
        <is>
          <t>3</t>
        </is>
      </c>
    </row>
    <row r="30">
      <c r="B30" s="22" t="inlineStr">
        <is>
          <t>Порог — 1 380 м²: корпуса больше этой площади требуют 4 канистры, меньше — 3. Канистры округляются вверх, дробную канистру выдать нельзя.</t>
        </is>
      </c>
    </row>
    <row r="31"/>
  </sheetData>
  <mergeCells count="15">
    <mergeCell ref="D8:E8"/>
    <mergeCell ref="D6:E6"/>
    <mergeCell ref="B6:C6"/>
    <mergeCell ref="B5:C5"/>
    <mergeCell ref="F5:G5"/>
    <mergeCell ref="D5:E5"/>
    <mergeCell ref="B27:C27"/>
    <mergeCell ref="B28:C28"/>
    <mergeCell ref="F6:G6"/>
    <mergeCell ref="B9:C9"/>
    <mergeCell ref="D9:E9"/>
    <mergeCell ref="B8:C8"/>
    <mergeCell ref="F9:G9"/>
    <mergeCell ref="B30:I31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2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РАСЧЕТ ПО КАЖДОМУ КОРПУСУ</t>
        </is>
      </c>
    </row>
    <row r="2">
      <c r="A2" s="2" t="inlineStr">
        <is>
          <t>Сколько Фоснитацида нужно на один корпус при мойке</t>
        </is>
      </c>
    </row>
    <row r="4" ht="46" customHeight="1">
      <c r="A4" s="8" t="inlineStr">
        <is>
          <t>Пло­щадка</t>
        </is>
      </c>
      <c r="B4" s="8" t="inlineStr">
        <is>
          <t>Уча­сток</t>
        </is>
      </c>
      <c r="C4" s="8" t="inlineStr">
        <is>
          <t>№ корпуса</t>
        </is>
      </c>
      <c r="D4" s="8" t="inlineStr">
        <is>
          <t>Площадь, м²</t>
        </is>
      </c>
      <c r="E4" s="8" t="inlineStr">
        <is>
          <t>Раствор (вода + средство), л</t>
        </is>
      </c>
      <c r="F4" s="8" t="inlineStr">
        <is>
          <t>Фоснитацид, л</t>
        </is>
      </c>
      <c r="G4" s="8" t="inlineStr">
        <is>
          <t>НУЖНО канистр</t>
        </is>
      </c>
      <c r="H4" s="8" t="inlineStr">
        <is>
          <t>Выдаётся сейчас, канистр</t>
        </is>
      </c>
      <c r="I4" s="8" t="inlineStr">
        <is>
          <t>Не хватает, канистр</t>
        </is>
      </c>
    </row>
    <row r="5">
      <c r="A5" s="9" t="inlineStr">
        <is>
          <t>Г</t>
        </is>
      </c>
      <c r="B5" s="21" t="inlineStr">
        <is>
          <t>№3</t>
        </is>
      </c>
      <c r="C5" s="21" t="inlineStr">
        <is>
          <t>1-4</t>
        </is>
      </c>
      <c r="D5" s="10" t="n">
        <v>1458.72</v>
      </c>
      <c r="E5" s="10">
        <f>D5*'Параметры'!$C$9*'Параметры'!$C$10</f>
        <v>729.36</v>
      </c>
      <c r="F5" s="23">
        <f>E5*'Параметры'!$C$8/100</f>
        <v>72.936</v>
      </c>
      <c r="G5" s="11">
        <f>ROUNDUP(F5/'Параметры'!$C$11,0)</f>
        <v>4</v>
      </c>
      <c r="H5" s="10">
        <f>'Параметры'!$C$12</f>
        <v>1</v>
      </c>
      <c r="I5" s="12">
        <f>G5-H5</f>
        <v>3</v>
      </c>
    </row>
    <row r="6">
      <c r="A6" s="13" t="inlineStr">
        <is>
          <t>Г</t>
        </is>
      </c>
      <c r="B6" s="24" t="inlineStr">
        <is>
          <t>№3</t>
        </is>
      </c>
      <c r="C6" s="24" t="inlineStr">
        <is>
          <t>1-3</t>
        </is>
      </c>
      <c r="D6" s="14" t="n">
        <v>1458.72</v>
      </c>
      <c r="E6" s="14">
        <f>D6*'Параметры'!$C$9*'Параметры'!$C$10</f>
        <v>729.36</v>
      </c>
      <c r="F6" s="25">
        <f>E6*'Параметры'!$C$8/100</f>
        <v>72.936</v>
      </c>
      <c r="G6" s="15">
        <f>ROUNDUP(F6/'Параметры'!$C$11,0)</f>
        <v>4</v>
      </c>
      <c r="H6" s="14">
        <f>'Параметры'!$C$12</f>
        <v>1</v>
      </c>
      <c r="I6" s="16">
        <f>G6-H6</f>
        <v>3</v>
      </c>
    </row>
    <row r="7">
      <c r="A7" s="9" t="inlineStr">
        <is>
          <t>Г</t>
        </is>
      </c>
      <c r="B7" s="21" t="inlineStr">
        <is>
          <t>№3</t>
        </is>
      </c>
      <c r="C7" s="21" t="inlineStr">
        <is>
          <t>1-2</t>
        </is>
      </c>
      <c r="D7" s="10" t="n">
        <v>1458.72</v>
      </c>
      <c r="E7" s="10">
        <f>D7*'Параметры'!$C$9*'Параметры'!$C$10</f>
        <v>729.36</v>
      </c>
      <c r="F7" s="23">
        <f>E7*'Параметры'!$C$8/100</f>
        <v>72.936</v>
      </c>
      <c r="G7" s="11">
        <f>ROUNDUP(F7/'Параметры'!$C$11,0)</f>
        <v>4</v>
      </c>
      <c r="H7" s="10">
        <f>'Параметры'!$C$12</f>
        <v>1</v>
      </c>
      <c r="I7" s="12">
        <f>G7-H7</f>
        <v>3</v>
      </c>
    </row>
    <row r="8">
      <c r="A8" s="13" t="inlineStr">
        <is>
          <t>Г</t>
        </is>
      </c>
      <c r="B8" s="24" t="inlineStr">
        <is>
          <t>№3</t>
        </is>
      </c>
      <c r="C8" s="24" t="inlineStr">
        <is>
          <t>1-1</t>
        </is>
      </c>
      <c r="D8" s="14" t="n">
        <v>1483.54</v>
      </c>
      <c r="E8" s="14">
        <f>D8*'Параметры'!$C$9*'Параметры'!$C$10</f>
        <v>741.77</v>
      </c>
      <c r="F8" s="25">
        <f>E8*'Параметры'!$C$8/100</f>
        <v>74.17699999999999</v>
      </c>
      <c r="G8" s="15">
        <f>ROUNDUP(F8/'Параметры'!$C$11,0)</f>
        <v>4</v>
      </c>
      <c r="H8" s="14">
        <f>'Параметры'!$C$12</f>
        <v>1</v>
      </c>
      <c r="I8" s="16">
        <f>G8-H8</f>
        <v>3</v>
      </c>
    </row>
    <row r="9">
      <c r="A9" s="9" t="inlineStr">
        <is>
          <t>Г</t>
        </is>
      </c>
      <c r="B9" s="21" t="inlineStr">
        <is>
          <t>№3</t>
        </is>
      </c>
      <c r="C9" s="21" t="inlineStr">
        <is>
          <t>2-4</t>
        </is>
      </c>
      <c r="D9" s="10" t="n">
        <v>1486.31</v>
      </c>
      <c r="E9" s="10">
        <f>D9*'Параметры'!$C$9*'Параметры'!$C$10</f>
        <v>743.155</v>
      </c>
      <c r="F9" s="23">
        <f>E9*'Параметры'!$C$8/100</f>
        <v>74.31549999999999</v>
      </c>
      <c r="G9" s="11">
        <f>ROUNDUP(F9/'Параметры'!$C$11,0)</f>
        <v>4</v>
      </c>
      <c r="H9" s="10">
        <f>'Параметры'!$C$12</f>
        <v>1</v>
      </c>
      <c r="I9" s="12">
        <f>G9-H9</f>
        <v>3</v>
      </c>
    </row>
    <row r="10">
      <c r="A10" s="13" t="inlineStr">
        <is>
          <t>Г</t>
        </is>
      </c>
      <c r="B10" s="24" t="inlineStr">
        <is>
          <t>№3</t>
        </is>
      </c>
      <c r="C10" s="24" t="inlineStr">
        <is>
          <t>2-3</t>
        </is>
      </c>
      <c r="D10" s="14" t="n">
        <v>1486.31</v>
      </c>
      <c r="E10" s="14">
        <f>D10*'Параметры'!$C$9*'Параметры'!$C$10</f>
        <v>743.155</v>
      </c>
      <c r="F10" s="25">
        <f>E10*'Параметры'!$C$8/100</f>
        <v>74.31549999999999</v>
      </c>
      <c r="G10" s="15">
        <f>ROUNDUP(F10/'Параметры'!$C$11,0)</f>
        <v>4</v>
      </c>
      <c r="H10" s="14">
        <f>'Параметры'!$C$12</f>
        <v>1</v>
      </c>
      <c r="I10" s="16">
        <f>G10-H10</f>
        <v>3</v>
      </c>
    </row>
    <row r="11">
      <c r="A11" s="9" t="inlineStr">
        <is>
          <t>Г</t>
        </is>
      </c>
      <c r="B11" s="21" t="inlineStr">
        <is>
          <t>№3</t>
        </is>
      </c>
      <c r="C11" s="21" t="inlineStr">
        <is>
          <t>2-2</t>
        </is>
      </c>
      <c r="D11" s="10" t="n">
        <v>1486.31</v>
      </c>
      <c r="E11" s="10">
        <f>D11*'Параметры'!$C$9*'Параметры'!$C$10</f>
        <v>743.155</v>
      </c>
      <c r="F11" s="23">
        <f>E11*'Параметры'!$C$8/100</f>
        <v>74.31549999999999</v>
      </c>
      <c r="G11" s="11">
        <f>ROUNDUP(F11/'Параметры'!$C$11,0)</f>
        <v>4</v>
      </c>
      <c r="H11" s="10">
        <f>'Параметры'!$C$12</f>
        <v>1</v>
      </c>
      <c r="I11" s="12">
        <f>G11-H11</f>
        <v>3</v>
      </c>
    </row>
    <row r="12">
      <c r="A12" s="13" t="inlineStr">
        <is>
          <t>Г</t>
        </is>
      </c>
      <c r="B12" s="24" t="inlineStr">
        <is>
          <t>№3</t>
        </is>
      </c>
      <c r="C12" s="24" t="inlineStr">
        <is>
          <t>2-1</t>
        </is>
      </c>
      <c r="D12" s="14" t="n">
        <v>1483.54</v>
      </c>
      <c r="E12" s="14">
        <f>D12*'Параметры'!$C$9*'Параметры'!$C$10</f>
        <v>741.77</v>
      </c>
      <c r="F12" s="25">
        <f>E12*'Параметры'!$C$8/100</f>
        <v>74.17699999999999</v>
      </c>
      <c r="G12" s="15">
        <f>ROUNDUP(F12/'Параметры'!$C$11,0)</f>
        <v>4</v>
      </c>
      <c r="H12" s="14">
        <f>'Параметры'!$C$12</f>
        <v>1</v>
      </c>
      <c r="I12" s="16">
        <f>G12-H12</f>
        <v>3</v>
      </c>
    </row>
    <row r="13">
      <c r="A13" s="9" t="inlineStr">
        <is>
          <t>Г</t>
        </is>
      </c>
      <c r="B13" s="21" t="inlineStr">
        <is>
          <t>№3</t>
        </is>
      </c>
      <c r="C13" s="21" t="inlineStr">
        <is>
          <t>3-4</t>
        </is>
      </c>
      <c r="D13" s="10" t="n">
        <v>1488.26</v>
      </c>
      <c r="E13" s="10">
        <f>D13*'Параметры'!$C$9*'Параметры'!$C$10</f>
        <v>744.13</v>
      </c>
      <c r="F13" s="23">
        <f>E13*'Параметры'!$C$8/100</f>
        <v>74.413</v>
      </c>
      <c r="G13" s="11">
        <f>ROUNDUP(F13/'Параметры'!$C$11,0)</f>
        <v>4</v>
      </c>
      <c r="H13" s="10">
        <f>'Параметры'!$C$12</f>
        <v>1</v>
      </c>
      <c r="I13" s="12">
        <f>G13-H13</f>
        <v>3</v>
      </c>
    </row>
    <row r="14">
      <c r="A14" s="13" t="inlineStr">
        <is>
          <t>Г</t>
        </is>
      </c>
      <c r="B14" s="24" t="inlineStr">
        <is>
          <t>№3</t>
        </is>
      </c>
      <c r="C14" s="24" t="inlineStr">
        <is>
          <t>3-3</t>
        </is>
      </c>
      <c r="D14" s="14" t="n">
        <v>1488.26</v>
      </c>
      <c r="E14" s="14">
        <f>D14*'Параметры'!$C$9*'Параметры'!$C$10</f>
        <v>744.13</v>
      </c>
      <c r="F14" s="25">
        <f>E14*'Параметры'!$C$8/100</f>
        <v>74.413</v>
      </c>
      <c r="G14" s="15">
        <f>ROUNDUP(F14/'Параметры'!$C$11,0)</f>
        <v>4</v>
      </c>
      <c r="H14" s="14">
        <f>'Параметры'!$C$12</f>
        <v>1</v>
      </c>
      <c r="I14" s="16">
        <f>G14-H14</f>
        <v>3</v>
      </c>
    </row>
    <row r="15">
      <c r="A15" s="9" t="inlineStr">
        <is>
          <t>Г</t>
        </is>
      </c>
      <c r="B15" s="21" t="inlineStr">
        <is>
          <t>№3</t>
        </is>
      </c>
      <c r="C15" s="21" t="inlineStr">
        <is>
          <t>3-2</t>
        </is>
      </c>
      <c r="D15" s="10" t="n">
        <v>1488.26</v>
      </c>
      <c r="E15" s="10">
        <f>D15*'Параметры'!$C$9*'Параметры'!$C$10</f>
        <v>744.13</v>
      </c>
      <c r="F15" s="23">
        <f>E15*'Параметры'!$C$8/100</f>
        <v>74.413</v>
      </c>
      <c r="G15" s="11">
        <f>ROUNDUP(F15/'Параметры'!$C$11,0)</f>
        <v>4</v>
      </c>
      <c r="H15" s="10">
        <f>'Параметры'!$C$12</f>
        <v>1</v>
      </c>
      <c r="I15" s="12">
        <f>G15-H15</f>
        <v>3</v>
      </c>
    </row>
    <row r="16">
      <c r="A16" s="13" t="inlineStr">
        <is>
          <t>Г</t>
        </is>
      </c>
      <c r="B16" s="24" t="inlineStr">
        <is>
          <t>№3</t>
        </is>
      </c>
      <c r="C16" s="24" t="inlineStr">
        <is>
          <t>3-1</t>
        </is>
      </c>
      <c r="D16" s="14" t="n">
        <v>1498.53</v>
      </c>
      <c r="E16" s="14">
        <f>D16*'Параметры'!$C$9*'Параметры'!$C$10</f>
        <v>749.265</v>
      </c>
      <c r="F16" s="25">
        <f>E16*'Параметры'!$C$8/100</f>
        <v>74.92649999999999</v>
      </c>
      <c r="G16" s="15">
        <f>ROUNDUP(F16/'Параметры'!$C$11,0)</f>
        <v>4</v>
      </c>
      <c r="H16" s="14">
        <f>'Параметры'!$C$12</f>
        <v>1</v>
      </c>
      <c r="I16" s="16">
        <f>G16-H16</f>
        <v>3</v>
      </c>
    </row>
    <row r="17">
      <c r="A17" s="9" t="inlineStr">
        <is>
          <t>Г</t>
        </is>
      </c>
      <c r="B17" s="21" t="inlineStr">
        <is>
          <t>№4</t>
        </is>
      </c>
      <c r="C17" s="21" t="inlineStr">
        <is>
          <t>4-4</t>
        </is>
      </c>
      <c r="D17" s="10" t="n">
        <v>1517.78</v>
      </c>
      <c r="E17" s="10">
        <f>D17*'Параметры'!$C$9*'Параметры'!$C$10</f>
        <v>758.89</v>
      </c>
      <c r="F17" s="23">
        <f>E17*'Параметры'!$C$8/100</f>
        <v>75.889</v>
      </c>
      <c r="G17" s="11">
        <f>ROUNDUP(F17/'Параметры'!$C$11,0)</f>
        <v>4</v>
      </c>
      <c r="H17" s="10">
        <f>'Параметры'!$C$12</f>
        <v>1</v>
      </c>
      <c r="I17" s="12">
        <f>G17-H17</f>
        <v>3</v>
      </c>
    </row>
    <row r="18">
      <c r="A18" s="13" t="inlineStr">
        <is>
          <t>Г</t>
        </is>
      </c>
      <c r="B18" s="24" t="inlineStr">
        <is>
          <t>№4</t>
        </is>
      </c>
      <c r="C18" s="24" t="inlineStr">
        <is>
          <t>4-3</t>
        </is>
      </c>
      <c r="D18" s="14" t="n">
        <v>1517.78</v>
      </c>
      <c r="E18" s="14">
        <f>D18*'Параметры'!$C$9*'Параметры'!$C$10</f>
        <v>758.89</v>
      </c>
      <c r="F18" s="25">
        <f>E18*'Параметры'!$C$8/100</f>
        <v>75.889</v>
      </c>
      <c r="G18" s="15">
        <f>ROUNDUP(F18/'Параметры'!$C$11,0)</f>
        <v>4</v>
      </c>
      <c r="H18" s="14">
        <f>'Параметры'!$C$12</f>
        <v>1</v>
      </c>
      <c r="I18" s="16">
        <f>G18-H18</f>
        <v>3</v>
      </c>
    </row>
    <row r="19">
      <c r="A19" s="9" t="inlineStr">
        <is>
          <t>Г</t>
        </is>
      </c>
      <c r="B19" s="21" t="inlineStr">
        <is>
          <t>№4</t>
        </is>
      </c>
      <c r="C19" s="21" t="inlineStr">
        <is>
          <t>4-2</t>
        </is>
      </c>
      <c r="D19" s="10" t="n">
        <v>1517.78</v>
      </c>
      <c r="E19" s="10">
        <f>D19*'Параметры'!$C$9*'Параметры'!$C$10</f>
        <v>758.89</v>
      </c>
      <c r="F19" s="23">
        <f>E19*'Параметры'!$C$8/100</f>
        <v>75.889</v>
      </c>
      <c r="G19" s="11">
        <f>ROUNDUP(F19/'Параметры'!$C$11,0)</f>
        <v>4</v>
      </c>
      <c r="H19" s="10">
        <f>'Параметры'!$C$12</f>
        <v>1</v>
      </c>
      <c r="I19" s="12">
        <f>G19-H19</f>
        <v>3</v>
      </c>
    </row>
    <row r="20">
      <c r="A20" s="13" t="inlineStr">
        <is>
          <t>Г</t>
        </is>
      </c>
      <c r="B20" s="24" t="inlineStr">
        <is>
          <t>№4</t>
        </is>
      </c>
      <c r="C20" s="24" t="inlineStr">
        <is>
          <t>4-1</t>
        </is>
      </c>
      <c r="D20" s="14" t="n">
        <v>1517.78</v>
      </c>
      <c r="E20" s="14">
        <f>D20*'Параметры'!$C$9*'Параметры'!$C$10</f>
        <v>758.89</v>
      </c>
      <c r="F20" s="25">
        <f>E20*'Параметры'!$C$8/100</f>
        <v>75.889</v>
      </c>
      <c r="G20" s="15">
        <f>ROUNDUP(F20/'Параметры'!$C$11,0)</f>
        <v>4</v>
      </c>
      <c r="H20" s="14">
        <f>'Параметры'!$C$12</f>
        <v>1</v>
      </c>
      <c r="I20" s="16">
        <f>G20-H20</f>
        <v>3</v>
      </c>
    </row>
    <row r="21">
      <c r="A21" s="9" t="inlineStr">
        <is>
          <t>Г</t>
        </is>
      </c>
      <c r="B21" s="21" t="inlineStr">
        <is>
          <t>№4</t>
        </is>
      </c>
      <c r="C21" s="21" t="inlineStr">
        <is>
          <t>5-4</t>
        </is>
      </c>
      <c r="D21" s="10" t="n">
        <v>1513.84</v>
      </c>
      <c r="E21" s="10">
        <f>D21*'Параметры'!$C$9*'Параметры'!$C$10</f>
        <v>756.92</v>
      </c>
      <c r="F21" s="23">
        <f>E21*'Параметры'!$C$8/100</f>
        <v>75.692</v>
      </c>
      <c r="G21" s="11">
        <f>ROUNDUP(F21/'Параметры'!$C$11,0)</f>
        <v>4</v>
      </c>
      <c r="H21" s="10">
        <f>'Параметры'!$C$12</f>
        <v>1</v>
      </c>
      <c r="I21" s="12">
        <f>G21-H21</f>
        <v>3</v>
      </c>
    </row>
    <row r="22">
      <c r="A22" s="13" t="inlineStr">
        <is>
          <t>Г</t>
        </is>
      </c>
      <c r="B22" s="24" t="inlineStr">
        <is>
          <t>№4</t>
        </is>
      </c>
      <c r="C22" s="24" t="inlineStr">
        <is>
          <t>5-3</t>
        </is>
      </c>
      <c r="D22" s="14" t="n">
        <v>1513.84</v>
      </c>
      <c r="E22" s="14">
        <f>D22*'Параметры'!$C$9*'Параметры'!$C$10</f>
        <v>756.92</v>
      </c>
      <c r="F22" s="25">
        <f>E22*'Параметры'!$C$8/100</f>
        <v>75.692</v>
      </c>
      <c r="G22" s="15">
        <f>ROUNDUP(F22/'Параметры'!$C$11,0)</f>
        <v>4</v>
      </c>
      <c r="H22" s="14">
        <f>'Параметры'!$C$12</f>
        <v>1</v>
      </c>
      <c r="I22" s="16">
        <f>G22-H22</f>
        <v>3</v>
      </c>
    </row>
    <row r="23">
      <c r="A23" s="9" t="inlineStr">
        <is>
          <t>Г</t>
        </is>
      </c>
      <c r="B23" s="21" t="inlineStr">
        <is>
          <t>№4</t>
        </is>
      </c>
      <c r="C23" s="21" t="inlineStr">
        <is>
          <t>5-2</t>
        </is>
      </c>
      <c r="D23" s="10" t="n">
        <v>1513.84</v>
      </c>
      <c r="E23" s="10">
        <f>D23*'Параметры'!$C$9*'Параметры'!$C$10</f>
        <v>756.92</v>
      </c>
      <c r="F23" s="23">
        <f>E23*'Параметры'!$C$8/100</f>
        <v>75.692</v>
      </c>
      <c r="G23" s="11">
        <f>ROUNDUP(F23/'Параметры'!$C$11,0)</f>
        <v>4</v>
      </c>
      <c r="H23" s="10">
        <f>'Параметры'!$C$12</f>
        <v>1</v>
      </c>
      <c r="I23" s="12">
        <f>G23-H23</f>
        <v>3</v>
      </c>
    </row>
    <row r="24">
      <c r="A24" s="13" t="inlineStr">
        <is>
          <t>Г</t>
        </is>
      </c>
      <c r="B24" s="24" t="inlineStr">
        <is>
          <t>№4</t>
        </is>
      </c>
      <c r="C24" s="24" t="inlineStr">
        <is>
          <t>5-1</t>
        </is>
      </c>
      <c r="D24" s="14" t="n">
        <v>1513.84</v>
      </c>
      <c r="E24" s="14">
        <f>D24*'Параметры'!$C$9*'Параметры'!$C$10</f>
        <v>756.92</v>
      </c>
      <c r="F24" s="25">
        <f>E24*'Параметры'!$C$8/100</f>
        <v>75.692</v>
      </c>
      <c r="G24" s="15">
        <f>ROUNDUP(F24/'Параметры'!$C$11,0)</f>
        <v>4</v>
      </c>
      <c r="H24" s="14">
        <f>'Параметры'!$C$12</f>
        <v>1</v>
      </c>
      <c r="I24" s="16">
        <f>G24-H24</f>
        <v>3</v>
      </c>
    </row>
    <row r="25">
      <c r="A25" s="9" t="inlineStr">
        <is>
          <t>Д</t>
        </is>
      </c>
      <c r="B25" s="21" t="inlineStr">
        <is>
          <t>№5</t>
        </is>
      </c>
      <c r="C25" s="21" t="inlineStr">
        <is>
          <t>1-4</t>
        </is>
      </c>
      <c r="D25" s="10" t="n">
        <v>1501.4</v>
      </c>
      <c r="E25" s="10">
        <f>D25*'Параметры'!$C$9*'Параметры'!$C$10</f>
        <v>750.7</v>
      </c>
      <c r="F25" s="23">
        <f>E25*'Параметры'!$C$8/100</f>
        <v>75.07</v>
      </c>
      <c r="G25" s="11">
        <f>ROUNDUP(F25/'Параметры'!$C$11,0)</f>
        <v>4</v>
      </c>
      <c r="H25" s="10">
        <f>'Параметры'!$C$12</f>
        <v>1</v>
      </c>
      <c r="I25" s="12">
        <f>G25-H25</f>
        <v>3</v>
      </c>
    </row>
    <row r="26">
      <c r="A26" s="13" t="inlineStr">
        <is>
          <t>Д</t>
        </is>
      </c>
      <c r="B26" s="24" t="inlineStr">
        <is>
          <t>№5</t>
        </is>
      </c>
      <c r="C26" s="24" t="inlineStr">
        <is>
          <t>1-3</t>
        </is>
      </c>
      <c r="D26" s="14" t="n">
        <v>1502.4</v>
      </c>
      <c r="E26" s="14">
        <f>D26*'Параметры'!$C$9*'Параметры'!$C$10</f>
        <v>751.2</v>
      </c>
      <c r="F26" s="25">
        <f>E26*'Параметры'!$C$8/100</f>
        <v>75.12</v>
      </c>
      <c r="G26" s="15">
        <f>ROUNDUP(F26/'Параметры'!$C$11,0)</f>
        <v>4</v>
      </c>
      <c r="H26" s="14">
        <f>'Параметры'!$C$12</f>
        <v>1</v>
      </c>
      <c r="I26" s="16">
        <f>G26-H26</f>
        <v>3</v>
      </c>
    </row>
    <row r="27">
      <c r="A27" s="9" t="inlineStr">
        <is>
          <t>Д</t>
        </is>
      </c>
      <c r="B27" s="21" t="inlineStr">
        <is>
          <t>№5</t>
        </is>
      </c>
      <c r="C27" s="21" t="inlineStr">
        <is>
          <t>1-2</t>
        </is>
      </c>
      <c r="D27" s="10" t="n">
        <v>1499.7</v>
      </c>
      <c r="E27" s="10">
        <f>D27*'Параметры'!$C$9*'Параметры'!$C$10</f>
        <v>749.85</v>
      </c>
      <c r="F27" s="23">
        <f>E27*'Параметры'!$C$8/100</f>
        <v>74.985</v>
      </c>
      <c r="G27" s="11">
        <f>ROUNDUP(F27/'Параметры'!$C$11,0)</f>
        <v>4</v>
      </c>
      <c r="H27" s="10">
        <f>'Параметры'!$C$12</f>
        <v>1</v>
      </c>
      <c r="I27" s="12">
        <f>G27-H27</f>
        <v>3</v>
      </c>
    </row>
    <row r="28">
      <c r="A28" s="13" t="inlineStr">
        <is>
          <t>Д</t>
        </is>
      </c>
      <c r="B28" s="24" t="inlineStr">
        <is>
          <t>№5</t>
        </is>
      </c>
      <c r="C28" s="24" t="inlineStr">
        <is>
          <t>1-1</t>
        </is>
      </c>
      <c r="D28" s="14" t="n">
        <v>1500.4</v>
      </c>
      <c r="E28" s="14">
        <f>D28*'Параметры'!$C$9*'Параметры'!$C$10</f>
        <v>750.2</v>
      </c>
      <c r="F28" s="25">
        <f>E28*'Параметры'!$C$8/100</f>
        <v>75.02</v>
      </c>
      <c r="G28" s="15">
        <f>ROUNDUP(F28/'Параметры'!$C$11,0)</f>
        <v>4</v>
      </c>
      <c r="H28" s="14">
        <f>'Параметры'!$C$12</f>
        <v>1</v>
      </c>
      <c r="I28" s="16">
        <f>G28-H28</f>
        <v>3</v>
      </c>
    </row>
    <row r="29">
      <c r="A29" s="9" t="inlineStr">
        <is>
          <t>Д</t>
        </is>
      </c>
      <c r="B29" s="21" t="inlineStr">
        <is>
          <t>№5</t>
        </is>
      </c>
      <c r="C29" s="21" t="inlineStr">
        <is>
          <t>2-4</t>
        </is>
      </c>
      <c r="D29" s="10" t="n">
        <v>1510.1</v>
      </c>
      <c r="E29" s="10">
        <f>D29*'Параметры'!$C$9*'Параметры'!$C$10</f>
        <v>755.05</v>
      </c>
      <c r="F29" s="23">
        <f>E29*'Параметры'!$C$8/100</f>
        <v>75.505</v>
      </c>
      <c r="G29" s="11">
        <f>ROUNDUP(F29/'Параметры'!$C$11,0)</f>
        <v>4</v>
      </c>
      <c r="H29" s="10">
        <f>'Параметры'!$C$12</f>
        <v>1</v>
      </c>
      <c r="I29" s="12">
        <f>G29-H29</f>
        <v>3</v>
      </c>
    </row>
    <row r="30">
      <c r="A30" s="13" t="inlineStr">
        <is>
          <t>Д</t>
        </is>
      </c>
      <c r="B30" s="24" t="inlineStr">
        <is>
          <t>№5</t>
        </is>
      </c>
      <c r="C30" s="24" t="inlineStr">
        <is>
          <t>2-3</t>
        </is>
      </c>
      <c r="D30" s="14" t="n">
        <v>1511.3</v>
      </c>
      <c r="E30" s="14">
        <f>D30*'Параметры'!$C$9*'Параметры'!$C$10</f>
        <v>755.65</v>
      </c>
      <c r="F30" s="25">
        <f>E30*'Параметры'!$C$8/100</f>
        <v>75.565</v>
      </c>
      <c r="G30" s="15">
        <f>ROUNDUP(F30/'Параметры'!$C$11,0)</f>
        <v>4</v>
      </c>
      <c r="H30" s="14">
        <f>'Параметры'!$C$12</f>
        <v>1</v>
      </c>
      <c r="I30" s="16">
        <f>G30-H30</f>
        <v>3</v>
      </c>
    </row>
    <row r="31">
      <c r="A31" s="9" t="inlineStr">
        <is>
          <t>Д</t>
        </is>
      </c>
      <c r="B31" s="21" t="inlineStr">
        <is>
          <t>№5</t>
        </is>
      </c>
      <c r="C31" s="21" t="inlineStr">
        <is>
          <t>2-2</t>
        </is>
      </c>
      <c r="D31" s="10" t="n">
        <v>1510.1</v>
      </c>
      <c r="E31" s="10">
        <f>D31*'Параметры'!$C$9*'Параметры'!$C$10</f>
        <v>755.05</v>
      </c>
      <c r="F31" s="23">
        <f>E31*'Параметры'!$C$8/100</f>
        <v>75.505</v>
      </c>
      <c r="G31" s="11">
        <f>ROUNDUP(F31/'Параметры'!$C$11,0)</f>
        <v>4</v>
      </c>
      <c r="H31" s="10">
        <f>'Параметры'!$C$12</f>
        <v>1</v>
      </c>
      <c r="I31" s="12">
        <f>G31-H31</f>
        <v>3</v>
      </c>
    </row>
    <row r="32">
      <c r="A32" s="13" t="inlineStr">
        <is>
          <t>Д</t>
        </is>
      </c>
      <c r="B32" s="24" t="inlineStr">
        <is>
          <t>№5</t>
        </is>
      </c>
      <c r="C32" s="24" t="inlineStr">
        <is>
          <t>2-1</t>
        </is>
      </c>
      <c r="D32" s="14" t="n">
        <v>1510.9</v>
      </c>
      <c r="E32" s="14">
        <f>D32*'Параметры'!$C$9*'Параметры'!$C$10</f>
        <v>755.45</v>
      </c>
      <c r="F32" s="25">
        <f>E32*'Параметры'!$C$8/100</f>
        <v>75.545</v>
      </c>
      <c r="G32" s="15">
        <f>ROUNDUP(F32/'Параметры'!$C$11,0)</f>
        <v>4</v>
      </c>
      <c r="H32" s="14">
        <f>'Параметры'!$C$12</f>
        <v>1</v>
      </c>
      <c r="I32" s="16">
        <f>G32-H32</f>
        <v>3</v>
      </c>
    </row>
    <row r="33">
      <c r="A33" s="9" t="inlineStr">
        <is>
          <t>Д</t>
        </is>
      </c>
      <c r="B33" s="21" t="inlineStr">
        <is>
          <t>№6</t>
        </is>
      </c>
      <c r="C33" s="21" t="inlineStr">
        <is>
          <t>3-4</t>
        </is>
      </c>
      <c r="D33" s="10" t="n">
        <v>1532.6</v>
      </c>
      <c r="E33" s="10">
        <f>D33*'Параметры'!$C$9*'Параметры'!$C$10</f>
        <v>766.3</v>
      </c>
      <c r="F33" s="23">
        <f>E33*'Параметры'!$C$8/100</f>
        <v>76.63</v>
      </c>
      <c r="G33" s="11">
        <f>ROUNDUP(F33/'Параметры'!$C$11,0)</f>
        <v>4</v>
      </c>
      <c r="H33" s="10">
        <f>'Параметры'!$C$12</f>
        <v>1</v>
      </c>
      <c r="I33" s="12">
        <f>G33-H33</f>
        <v>3</v>
      </c>
    </row>
    <row r="34">
      <c r="A34" s="13" t="inlineStr">
        <is>
          <t>Д</t>
        </is>
      </c>
      <c r="B34" s="24" t="inlineStr">
        <is>
          <t>№6</t>
        </is>
      </c>
      <c r="C34" s="24" t="inlineStr">
        <is>
          <t>3-3</t>
        </is>
      </c>
      <c r="D34" s="14" t="n">
        <v>1530.5</v>
      </c>
      <c r="E34" s="14">
        <f>D34*'Параметры'!$C$9*'Параметры'!$C$10</f>
        <v>765.25</v>
      </c>
      <c r="F34" s="25">
        <f>E34*'Параметры'!$C$8/100</f>
        <v>76.525</v>
      </c>
      <c r="G34" s="15">
        <f>ROUNDUP(F34/'Параметры'!$C$11,0)</f>
        <v>4</v>
      </c>
      <c r="H34" s="14">
        <f>'Параметры'!$C$12</f>
        <v>1</v>
      </c>
      <c r="I34" s="16">
        <f>G34-H34</f>
        <v>3</v>
      </c>
    </row>
    <row r="35">
      <c r="A35" s="9" t="inlineStr">
        <is>
          <t>Д</t>
        </is>
      </c>
      <c r="B35" s="21" t="inlineStr">
        <is>
          <t>№6</t>
        </is>
      </c>
      <c r="C35" s="21" t="inlineStr">
        <is>
          <t>3-2</t>
        </is>
      </c>
      <c r="D35" s="10" t="n">
        <v>1532.3</v>
      </c>
      <c r="E35" s="10">
        <f>D35*'Параметры'!$C$9*'Параметры'!$C$10</f>
        <v>766.15</v>
      </c>
      <c r="F35" s="23">
        <f>E35*'Параметры'!$C$8/100</f>
        <v>76.615</v>
      </c>
      <c r="G35" s="11">
        <f>ROUNDUP(F35/'Параметры'!$C$11,0)</f>
        <v>4</v>
      </c>
      <c r="H35" s="10">
        <f>'Параметры'!$C$12</f>
        <v>1</v>
      </c>
      <c r="I35" s="12">
        <f>G35-H35</f>
        <v>3</v>
      </c>
    </row>
    <row r="36">
      <c r="A36" s="13" t="inlineStr">
        <is>
          <t>Д</t>
        </is>
      </c>
      <c r="B36" s="24" t="inlineStr">
        <is>
          <t>№6</t>
        </is>
      </c>
      <c r="C36" s="24" t="inlineStr">
        <is>
          <t>3-1</t>
        </is>
      </c>
      <c r="D36" s="14" t="n">
        <v>1531.1</v>
      </c>
      <c r="E36" s="14">
        <f>D36*'Параметры'!$C$9*'Параметры'!$C$10</f>
        <v>765.55</v>
      </c>
      <c r="F36" s="25">
        <f>E36*'Параметры'!$C$8/100</f>
        <v>76.555</v>
      </c>
      <c r="G36" s="15">
        <f>ROUNDUP(F36/'Параметры'!$C$11,0)</f>
        <v>4</v>
      </c>
      <c r="H36" s="14">
        <f>'Параметры'!$C$12</f>
        <v>1</v>
      </c>
      <c r="I36" s="16">
        <f>G36-H36</f>
        <v>3</v>
      </c>
    </row>
    <row r="37">
      <c r="A37" s="9" t="inlineStr">
        <is>
          <t>Д</t>
        </is>
      </c>
      <c r="B37" s="21" t="inlineStr">
        <is>
          <t>№6</t>
        </is>
      </c>
      <c r="C37" s="21" t="inlineStr">
        <is>
          <t>4-4</t>
        </is>
      </c>
      <c r="D37" s="10" t="n">
        <v>1568.4</v>
      </c>
      <c r="E37" s="10">
        <f>D37*'Параметры'!$C$9*'Параметры'!$C$10</f>
        <v>784.2</v>
      </c>
      <c r="F37" s="23">
        <f>E37*'Параметры'!$C$8/100</f>
        <v>78.42</v>
      </c>
      <c r="G37" s="11">
        <f>ROUNDUP(F37/'Параметры'!$C$11,0)</f>
        <v>4</v>
      </c>
      <c r="H37" s="10">
        <f>'Параметры'!$C$12</f>
        <v>1</v>
      </c>
      <c r="I37" s="12">
        <f>G37-H37</f>
        <v>3</v>
      </c>
    </row>
    <row r="38">
      <c r="A38" s="13" t="inlineStr">
        <is>
          <t>Д</t>
        </is>
      </c>
      <c r="B38" s="24" t="inlineStr">
        <is>
          <t>№6</t>
        </is>
      </c>
      <c r="C38" s="24" t="inlineStr">
        <is>
          <t>4-3</t>
        </is>
      </c>
      <c r="D38" s="14" t="n">
        <v>1570.4</v>
      </c>
      <c r="E38" s="14">
        <f>D38*'Параметры'!$C$9*'Параметры'!$C$10</f>
        <v>785.2</v>
      </c>
      <c r="F38" s="25">
        <f>E38*'Параметры'!$C$8/100</f>
        <v>78.52</v>
      </c>
      <c r="G38" s="15">
        <f>ROUNDUP(F38/'Параметры'!$C$11,0)</f>
        <v>4</v>
      </c>
      <c r="H38" s="14">
        <f>'Параметры'!$C$12</f>
        <v>1</v>
      </c>
      <c r="I38" s="16">
        <f>G38-H38</f>
        <v>3</v>
      </c>
    </row>
    <row r="39">
      <c r="A39" s="9" t="inlineStr">
        <is>
          <t>Д</t>
        </is>
      </c>
      <c r="B39" s="21" t="inlineStr">
        <is>
          <t>№6</t>
        </is>
      </c>
      <c r="C39" s="21" t="inlineStr">
        <is>
          <t>4-2</t>
        </is>
      </c>
      <c r="D39" s="10" t="n">
        <v>1571.9</v>
      </c>
      <c r="E39" s="10">
        <f>D39*'Параметры'!$C$9*'Параметры'!$C$10</f>
        <v>785.95</v>
      </c>
      <c r="F39" s="23">
        <f>E39*'Параметры'!$C$8/100</f>
        <v>78.595</v>
      </c>
      <c r="G39" s="11">
        <f>ROUNDUP(F39/'Параметры'!$C$11,0)</f>
        <v>4</v>
      </c>
      <c r="H39" s="10">
        <f>'Параметры'!$C$12</f>
        <v>1</v>
      </c>
      <c r="I39" s="12">
        <f>G39-H39</f>
        <v>3</v>
      </c>
    </row>
    <row r="40">
      <c r="A40" s="13" t="inlineStr">
        <is>
          <t>Д</t>
        </is>
      </c>
      <c r="B40" s="24" t="inlineStr">
        <is>
          <t>№6</t>
        </is>
      </c>
      <c r="C40" s="24" t="inlineStr">
        <is>
          <t>4-1</t>
        </is>
      </c>
      <c r="D40" s="14" t="n">
        <v>1574.8</v>
      </c>
      <c r="E40" s="14">
        <f>D40*'Параметры'!$C$9*'Параметры'!$C$10</f>
        <v>787.4</v>
      </c>
      <c r="F40" s="25">
        <f>E40*'Параметры'!$C$8/100</f>
        <v>78.74</v>
      </c>
      <c r="G40" s="15">
        <f>ROUNDUP(F40/'Параметры'!$C$11,0)</f>
        <v>4</v>
      </c>
      <c r="H40" s="14">
        <f>'Параметры'!$C$12</f>
        <v>1</v>
      </c>
      <c r="I40" s="16">
        <f>G40-H40</f>
        <v>3</v>
      </c>
    </row>
    <row r="41">
      <c r="A41" s="9" t="inlineStr">
        <is>
          <t>Б</t>
        </is>
      </c>
      <c r="B41" s="21" t="inlineStr">
        <is>
          <t>№7</t>
        </is>
      </c>
      <c r="C41" s="21" t="inlineStr">
        <is>
          <t>1</t>
        </is>
      </c>
      <c r="D41" s="10" t="n">
        <v>1162.9</v>
      </c>
      <c r="E41" s="10">
        <f>D41*'Параметры'!$C$9*'Параметры'!$C$10</f>
        <v>581.45</v>
      </c>
      <c r="F41" s="23">
        <f>E41*'Параметры'!$C$8/100</f>
        <v>58.145</v>
      </c>
      <c r="G41" s="11">
        <f>ROUNDUP(F41/'Параметры'!$C$11,0)</f>
        <v>3</v>
      </c>
      <c r="H41" s="10">
        <f>'Параметры'!$C$12</f>
        <v>1</v>
      </c>
      <c r="I41" s="12">
        <f>G41-H41</f>
        <v>2</v>
      </c>
    </row>
    <row r="42">
      <c r="A42" s="13" t="inlineStr">
        <is>
          <t>Б</t>
        </is>
      </c>
      <c r="B42" s="24" t="inlineStr">
        <is>
          <t>№7</t>
        </is>
      </c>
      <c r="C42" s="24" t="inlineStr">
        <is>
          <t>2</t>
        </is>
      </c>
      <c r="D42" s="14" t="n">
        <v>1162.9</v>
      </c>
      <c r="E42" s="14">
        <f>D42*'Параметры'!$C$9*'Параметры'!$C$10</f>
        <v>581.45</v>
      </c>
      <c r="F42" s="25">
        <f>E42*'Параметры'!$C$8/100</f>
        <v>58.145</v>
      </c>
      <c r="G42" s="15">
        <f>ROUNDUP(F42/'Параметры'!$C$11,0)</f>
        <v>3</v>
      </c>
      <c r="H42" s="14">
        <f>'Параметры'!$C$12</f>
        <v>1</v>
      </c>
      <c r="I42" s="16">
        <f>G42-H42</f>
        <v>2</v>
      </c>
    </row>
    <row r="43">
      <c r="A43" s="9" t="inlineStr">
        <is>
          <t>Б</t>
        </is>
      </c>
      <c r="B43" s="21" t="inlineStr">
        <is>
          <t>№7</t>
        </is>
      </c>
      <c r="C43" s="21" t="inlineStr">
        <is>
          <t>3</t>
        </is>
      </c>
      <c r="D43" s="10" t="n">
        <v>1150.4</v>
      </c>
      <c r="E43" s="10">
        <f>D43*'Параметры'!$C$9*'Параметры'!$C$10</f>
        <v>575.2</v>
      </c>
      <c r="F43" s="23">
        <f>E43*'Параметры'!$C$8/100</f>
        <v>57.52</v>
      </c>
      <c r="G43" s="11">
        <f>ROUNDUP(F43/'Параметры'!$C$11,0)</f>
        <v>3</v>
      </c>
      <c r="H43" s="10">
        <f>'Параметры'!$C$12</f>
        <v>1</v>
      </c>
      <c r="I43" s="12">
        <f>G43-H43</f>
        <v>2</v>
      </c>
    </row>
    <row r="44">
      <c r="A44" s="13" t="inlineStr">
        <is>
          <t>Б</t>
        </is>
      </c>
      <c r="B44" s="24" t="inlineStr">
        <is>
          <t>№7</t>
        </is>
      </c>
      <c r="C44" s="24" t="inlineStr">
        <is>
          <t>4</t>
        </is>
      </c>
      <c r="D44" s="14" t="n">
        <v>1150.9</v>
      </c>
      <c r="E44" s="14">
        <f>D44*'Параметры'!$C$9*'Параметры'!$C$10</f>
        <v>575.45</v>
      </c>
      <c r="F44" s="25">
        <f>E44*'Параметры'!$C$8/100</f>
        <v>57.545</v>
      </c>
      <c r="G44" s="15">
        <f>ROUNDUP(F44/'Параметры'!$C$11,0)</f>
        <v>3</v>
      </c>
      <c r="H44" s="14">
        <f>'Параметры'!$C$12</f>
        <v>1</v>
      </c>
      <c r="I44" s="16">
        <f>G44-H44</f>
        <v>2</v>
      </c>
    </row>
    <row r="45">
      <c r="A45" s="9" t="inlineStr">
        <is>
          <t>Б</t>
        </is>
      </c>
      <c r="B45" s="21" t="inlineStr">
        <is>
          <t>№7</t>
        </is>
      </c>
      <c r="C45" s="21" t="inlineStr">
        <is>
          <t>5</t>
        </is>
      </c>
      <c r="D45" s="10" t="n">
        <v>1108.4</v>
      </c>
      <c r="E45" s="10">
        <f>D45*'Параметры'!$C$9*'Параметры'!$C$10</f>
        <v>554.2</v>
      </c>
      <c r="F45" s="23">
        <f>E45*'Параметры'!$C$8/100</f>
        <v>55.42</v>
      </c>
      <c r="G45" s="11">
        <f>ROUNDUP(F45/'Параметры'!$C$11,0)</f>
        <v>3</v>
      </c>
      <c r="H45" s="10">
        <f>'Параметры'!$C$12</f>
        <v>1</v>
      </c>
      <c r="I45" s="12">
        <f>G45-H45</f>
        <v>2</v>
      </c>
    </row>
    <row r="46">
      <c r="A46" s="13" t="inlineStr">
        <is>
          <t>Б</t>
        </is>
      </c>
      <c r="B46" s="24" t="inlineStr">
        <is>
          <t>№7</t>
        </is>
      </c>
      <c r="C46" s="24" t="inlineStr">
        <is>
          <t>6</t>
        </is>
      </c>
      <c r="D46" s="14" t="n">
        <v>1117</v>
      </c>
      <c r="E46" s="14">
        <f>D46*'Параметры'!$C$9*'Параметры'!$C$10</f>
        <v>558.5</v>
      </c>
      <c r="F46" s="25">
        <f>E46*'Параметры'!$C$8/100</f>
        <v>55.85</v>
      </c>
      <c r="G46" s="15">
        <f>ROUNDUP(F46/'Параметры'!$C$11,0)</f>
        <v>3</v>
      </c>
      <c r="H46" s="14">
        <f>'Параметры'!$C$12</f>
        <v>1</v>
      </c>
      <c r="I46" s="16">
        <f>G46-H46</f>
        <v>2</v>
      </c>
    </row>
    <row r="47">
      <c r="A47" s="9" t="inlineStr">
        <is>
          <t>Б</t>
        </is>
      </c>
      <c r="B47" s="21" t="inlineStr">
        <is>
          <t>№7</t>
        </is>
      </c>
      <c r="C47" s="21" t="inlineStr">
        <is>
          <t>7</t>
        </is>
      </c>
      <c r="D47" s="10" t="n">
        <v>1091.5</v>
      </c>
      <c r="E47" s="10">
        <f>D47*'Параметры'!$C$9*'Параметры'!$C$10</f>
        <v>545.75</v>
      </c>
      <c r="F47" s="23">
        <f>E47*'Параметры'!$C$8/100</f>
        <v>54.575</v>
      </c>
      <c r="G47" s="11">
        <f>ROUNDUP(F47/'Параметры'!$C$11,0)</f>
        <v>3</v>
      </c>
      <c r="H47" s="10">
        <f>'Параметры'!$C$12</f>
        <v>1</v>
      </c>
      <c r="I47" s="12">
        <f>G47-H47</f>
        <v>2</v>
      </c>
    </row>
    <row r="48">
      <c r="A48" s="13" t="inlineStr">
        <is>
          <t>Б</t>
        </is>
      </c>
      <c r="B48" s="24" t="inlineStr">
        <is>
          <t>№7</t>
        </is>
      </c>
      <c r="C48" s="24" t="inlineStr">
        <is>
          <t>8</t>
        </is>
      </c>
      <c r="D48" s="14" t="n">
        <v>1088.6</v>
      </c>
      <c r="E48" s="14">
        <f>D48*'Параметры'!$C$9*'Параметры'!$C$10</f>
        <v>544.3</v>
      </c>
      <c r="F48" s="25">
        <f>E48*'Параметры'!$C$8/100</f>
        <v>54.43</v>
      </c>
      <c r="G48" s="15">
        <f>ROUNDUP(F48/'Параметры'!$C$11,0)</f>
        <v>3</v>
      </c>
      <c r="H48" s="14">
        <f>'Параметры'!$C$12</f>
        <v>1</v>
      </c>
      <c r="I48" s="16">
        <f>G48-H48</f>
        <v>2</v>
      </c>
    </row>
    <row r="49">
      <c r="A49" s="9" t="inlineStr">
        <is>
          <t>Б</t>
        </is>
      </c>
      <c r="B49" s="21" t="inlineStr">
        <is>
          <t>№7</t>
        </is>
      </c>
      <c r="C49" s="21" t="inlineStr">
        <is>
          <t>9</t>
        </is>
      </c>
      <c r="D49" s="10" t="n">
        <v>1102.9</v>
      </c>
      <c r="E49" s="10">
        <f>D49*'Параметры'!$C$9*'Параметры'!$C$10</f>
        <v>551.45</v>
      </c>
      <c r="F49" s="23">
        <f>E49*'Параметры'!$C$8/100</f>
        <v>55.145</v>
      </c>
      <c r="G49" s="11">
        <f>ROUNDUP(F49/'Параметры'!$C$11,0)</f>
        <v>3</v>
      </c>
      <c r="H49" s="10">
        <f>'Параметры'!$C$12</f>
        <v>1</v>
      </c>
      <c r="I49" s="12">
        <f>G49-H49</f>
        <v>2</v>
      </c>
    </row>
    <row r="50">
      <c r="A50" s="13" t="inlineStr">
        <is>
          <t>Б</t>
        </is>
      </c>
      <c r="B50" s="24" t="inlineStr">
        <is>
          <t>№7</t>
        </is>
      </c>
      <c r="C50" s="24" t="inlineStr">
        <is>
          <t>10</t>
        </is>
      </c>
      <c r="D50" s="14" t="n">
        <v>1082.4</v>
      </c>
      <c r="E50" s="14">
        <f>D50*'Параметры'!$C$9*'Параметры'!$C$10</f>
        <v>541.2</v>
      </c>
      <c r="F50" s="25">
        <f>E50*'Параметры'!$C$8/100</f>
        <v>54.12</v>
      </c>
      <c r="G50" s="15">
        <f>ROUNDUP(F50/'Параметры'!$C$11,0)</f>
        <v>3</v>
      </c>
      <c r="H50" s="14">
        <f>'Параметры'!$C$12</f>
        <v>1</v>
      </c>
      <c r="I50" s="16">
        <f>G50-H50</f>
        <v>2</v>
      </c>
    </row>
    <row r="51">
      <c r="A51" s="9" t="inlineStr">
        <is>
          <t>Е</t>
        </is>
      </c>
      <c r="B51" s="21" t="inlineStr">
        <is>
          <t>№8</t>
        </is>
      </c>
      <c r="C51" s="21" t="inlineStr">
        <is>
          <t>1</t>
        </is>
      </c>
      <c r="D51" s="10" t="n">
        <v>1081.7</v>
      </c>
      <c r="E51" s="10">
        <f>D51*'Параметры'!$C$9*'Параметры'!$C$10</f>
        <v>540.85</v>
      </c>
      <c r="F51" s="23">
        <f>E51*'Параметры'!$C$8/100</f>
        <v>54.085</v>
      </c>
      <c r="G51" s="11">
        <f>ROUNDUP(F51/'Параметры'!$C$11,0)</f>
        <v>3</v>
      </c>
      <c r="H51" s="10">
        <f>'Параметры'!$C$12</f>
        <v>1</v>
      </c>
      <c r="I51" s="12">
        <f>G51-H51</f>
        <v>2</v>
      </c>
    </row>
    <row r="52">
      <c r="A52" s="13" t="inlineStr">
        <is>
          <t>Е</t>
        </is>
      </c>
      <c r="B52" s="24" t="inlineStr">
        <is>
          <t>№8</t>
        </is>
      </c>
      <c r="C52" s="24" t="inlineStr">
        <is>
          <t>2</t>
        </is>
      </c>
      <c r="D52" s="14" t="n">
        <v>1088</v>
      </c>
      <c r="E52" s="14">
        <f>D52*'Параметры'!$C$9*'Параметры'!$C$10</f>
        <v>544</v>
      </c>
      <c r="F52" s="25">
        <f>E52*'Параметры'!$C$8/100</f>
        <v>54.4</v>
      </c>
      <c r="G52" s="15">
        <f>ROUNDUP(F52/'Параметры'!$C$11,0)</f>
        <v>3</v>
      </c>
      <c r="H52" s="14">
        <f>'Параметры'!$C$12</f>
        <v>1</v>
      </c>
      <c r="I52" s="16">
        <f>G52-H52</f>
        <v>2</v>
      </c>
    </row>
    <row r="53">
      <c r="A53" s="9" t="inlineStr">
        <is>
          <t>Е</t>
        </is>
      </c>
      <c r="B53" s="21" t="inlineStr">
        <is>
          <t>№8</t>
        </is>
      </c>
      <c r="C53" s="21" t="inlineStr">
        <is>
          <t>3</t>
        </is>
      </c>
      <c r="D53" s="10" t="n">
        <v>1086.2</v>
      </c>
      <c r="E53" s="10">
        <f>D53*'Параметры'!$C$9*'Параметры'!$C$10</f>
        <v>543.1</v>
      </c>
      <c r="F53" s="23">
        <f>E53*'Параметры'!$C$8/100</f>
        <v>54.31</v>
      </c>
      <c r="G53" s="11">
        <f>ROUNDUP(F53/'Параметры'!$C$11,0)</f>
        <v>3</v>
      </c>
      <c r="H53" s="10">
        <f>'Параметры'!$C$12</f>
        <v>1</v>
      </c>
      <c r="I53" s="12">
        <f>G53-H53</f>
        <v>2</v>
      </c>
    </row>
    <row r="54">
      <c r="A54" s="13" t="inlineStr">
        <is>
          <t>Е</t>
        </is>
      </c>
      <c r="B54" s="24" t="inlineStr">
        <is>
          <t>№8</t>
        </is>
      </c>
      <c r="C54" s="24" t="inlineStr">
        <is>
          <t>4</t>
        </is>
      </c>
      <c r="D54" s="14" t="n">
        <v>1087.4</v>
      </c>
      <c r="E54" s="14">
        <f>D54*'Параметры'!$C$9*'Параметры'!$C$10</f>
        <v>543.7</v>
      </c>
      <c r="F54" s="25">
        <f>E54*'Параметры'!$C$8/100</f>
        <v>54.37</v>
      </c>
      <c r="G54" s="15">
        <f>ROUNDUP(F54/'Параметры'!$C$11,0)</f>
        <v>3</v>
      </c>
      <c r="H54" s="14">
        <f>'Параметры'!$C$12</f>
        <v>1</v>
      </c>
      <c r="I54" s="16">
        <f>G54-H54</f>
        <v>2</v>
      </c>
    </row>
    <row r="55">
      <c r="A55" s="9" t="inlineStr">
        <is>
          <t>Е</t>
        </is>
      </c>
      <c r="B55" s="21" t="inlineStr">
        <is>
          <t>№8</t>
        </is>
      </c>
      <c r="C55" s="21" t="inlineStr">
        <is>
          <t>5</t>
        </is>
      </c>
      <c r="D55" s="10" t="n">
        <v>1119.5</v>
      </c>
      <c r="E55" s="10">
        <f>D55*'Параметры'!$C$9*'Параметры'!$C$10</f>
        <v>559.75</v>
      </c>
      <c r="F55" s="23">
        <f>E55*'Параметры'!$C$8/100</f>
        <v>55.975</v>
      </c>
      <c r="G55" s="11">
        <f>ROUNDUP(F55/'Параметры'!$C$11,0)</f>
        <v>3</v>
      </c>
      <c r="H55" s="10">
        <f>'Параметры'!$C$12</f>
        <v>1</v>
      </c>
      <c r="I55" s="12">
        <f>G55-H55</f>
        <v>2</v>
      </c>
    </row>
    <row r="56">
      <c r="A56" s="13" t="inlineStr">
        <is>
          <t>Е</t>
        </is>
      </c>
      <c r="B56" s="24" t="inlineStr">
        <is>
          <t>№8</t>
        </is>
      </c>
      <c r="C56" s="24" t="inlineStr">
        <is>
          <t>6</t>
        </is>
      </c>
      <c r="D56" s="14" t="n">
        <v>1119.5</v>
      </c>
      <c r="E56" s="14">
        <f>D56*'Параметры'!$C$9*'Параметры'!$C$10</f>
        <v>559.75</v>
      </c>
      <c r="F56" s="25">
        <f>E56*'Параметры'!$C$8/100</f>
        <v>55.975</v>
      </c>
      <c r="G56" s="15">
        <f>ROUNDUP(F56/'Параметры'!$C$11,0)</f>
        <v>3</v>
      </c>
      <c r="H56" s="14">
        <f>'Параметры'!$C$12</f>
        <v>1</v>
      </c>
      <c r="I56" s="16">
        <f>G56-H56</f>
        <v>2</v>
      </c>
    </row>
    <row r="57">
      <c r="A57" s="9" t="inlineStr">
        <is>
          <t>Е</t>
        </is>
      </c>
      <c r="B57" s="21" t="inlineStr">
        <is>
          <t>№8</t>
        </is>
      </c>
      <c r="C57" s="21" t="inlineStr">
        <is>
          <t>7</t>
        </is>
      </c>
      <c r="D57" s="10" t="n">
        <v>1087.4</v>
      </c>
      <c r="E57" s="10">
        <f>D57*'Параметры'!$C$9*'Параметры'!$C$10</f>
        <v>543.7</v>
      </c>
      <c r="F57" s="23">
        <f>E57*'Параметры'!$C$8/100</f>
        <v>54.37</v>
      </c>
      <c r="G57" s="11">
        <f>ROUNDUP(F57/'Параметры'!$C$11,0)</f>
        <v>3</v>
      </c>
      <c r="H57" s="10">
        <f>'Параметры'!$C$12</f>
        <v>1</v>
      </c>
      <c r="I57" s="12">
        <f>G57-H57</f>
        <v>2</v>
      </c>
    </row>
    <row r="58">
      <c r="A58" s="13" t="inlineStr">
        <is>
          <t>Е</t>
        </is>
      </c>
      <c r="B58" s="24" t="inlineStr">
        <is>
          <t>№8</t>
        </is>
      </c>
      <c r="C58" s="24" t="inlineStr">
        <is>
          <t>8</t>
        </is>
      </c>
      <c r="D58" s="14" t="n">
        <v>1085</v>
      </c>
      <c r="E58" s="14">
        <f>D58*'Параметры'!$C$9*'Параметры'!$C$10</f>
        <v>542.5</v>
      </c>
      <c r="F58" s="25">
        <f>E58*'Параметры'!$C$8/100</f>
        <v>54.25</v>
      </c>
      <c r="G58" s="15">
        <f>ROUNDUP(F58/'Параметры'!$C$11,0)</f>
        <v>3</v>
      </c>
      <c r="H58" s="14">
        <f>'Параметры'!$C$12</f>
        <v>1</v>
      </c>
      <c r="I58" s="16">
        <f>G58-H58</f>
        <v>2</v>
      </c>
    </row>
    <row r="59">
      <c r="A59" s="9" t="inlineStr">
        <is>
          <t>Е</t>
        </is>
      </c>
      <c r="B59" s="21" t="inlineStr">
        <is>
          <t>№8</t>
        </is>
      </c>
      <c r="C59" s="21" t="inlineStr">
        <is>
          <t>9</t>
        </is>
      </c>
      <c r="D59" s="10" t="n">
        <v>1087.4</v>
      </c>
      <c r="E59" s="10">
        <f>D59*'Параметры'!$C$9*'Параметры'!$C$10</f>
        <v>543.7</v>
      </c>
      <c r="F59" s="23">
        <f>E59*'Параметры'!$C$8/100</f>
        <v>54.37</v>
      </c>
      <c r="G59" s="11">
        <f>ROUNDUP(F59/'Параметры'!$C$11,0)</f>
        <v>3</v>
      </c>
      <c r="H59" s="10">
        <f>'Параметры'!$C$12</f>
        <v>1</v>
      </c>
      <c r="I59" s="12">
        <f>G59-H59</f>
        <v>2</v>
      </c>
    </row>
    <row r="60">
      <c r="A60" s="13" t="inlineStr">
        <is>
          <t>Е</t>
        </is>
      </c>
      <c r="B60" s="24" t="inlineStr">
        <is>
          <t>№8</t>
        </is>
      </c>
      <c r="C60" s="24" t="inlineStr">
        <is>
          <t>10</t>
        </is>
      </c>
      <c r="D60" s="14" t="n">
        <v>1086.2</v>
      </c>
      <c r="E60" s="14">
        <f>D60*'Параметры'!$C$9*'Параметры'!$C$10</f>
        <v>543.1</v>
      </c>
      <c r="F60" s="25">
        <f>E60*'Параметры'!$C$8/100</f>
        <v>54.31</v>
      </c>
      <c r="G60" s="15">
        <f>ROUNDUP(F60/'Параметры'!$C$11,0)</f>
        <v>3</v>
      </c>
      <c r="H60" s="14">
        <f>'Параметры'!$C$12</f>
        <v>1</v>
      </c>
      <c r="I60" s="16">
        <f>G60-H60</f>
        <v>2</v>
      </c>
    </row>
    <row r="61">
      <c r="A61" s="9" t="inlineStr">
        <is>
          <t>А</t>
        </is>
      </c>
      <c r="B61" s="21" t="inlineStr">
        <is>
          <t>№9</t>
        </is>
      </c>
      <c r="C61" s="21" t="inlineStr">
        <is>
          <t>1</t>
        </is>
      </c>
      <c r="D61" s="10" t="n">
        <v>1114.5</v>
      </c>
      <c r="E61" s="10">
        <f>D61*'Параметры'!$C$9*'Параметры'!$C$10</f>
        <v>557.25</v>
      </c>
      <c r="F61" s="23">
        <f>E61*'Параметры'!$C$8/100</f>
        <v>55.725</v>
      </c>
      <c r="G61" s="11">
        <f>ROUNDUP(F61/'Параметры'!$C$11,0)</f>
        <v>3</v>
      </c>
      <c r="H61" s="10">
        <f>'Параметры'!$C$12</f>
        <v>1</v>
      </c>
      <c r="I61" s="12">
        <f>G61-H61</f>
        <v>2</v>
      </c>
    </row>
    <row r="62">
      <c r="A62" s="13" t="inlineStr">
        <is>
          <t>А</t>
        </is>
      </c>
      <c r="B62" s="24" t="inlineStr">
        <is>
          <t>№9</t>
        </is>
      </c>
      <c r="C62" s="24" t="inlineStr">
        <is>
          <t>2</t>
        </is>
      </c>
      <c r="D62" s="14" t="n">
        <v>1061.5</v>
      </c>
      <c r="E62" s="14">
        <f>D62*'Параметры'!$C$9*'Параметры'!$C$10</f>
        <v>530.75</v>
      </c>
      <c r="F62" s="25">
        <f>E62*'Параметры'!$C$8/100</f>
        <v>53.075</v>
      </c>
      <c r="G62" s="15">
        <f>ROUNDUP(F62/'Параметры'!$C$11,0)</f>
        <v>3</v>
      </c>
      <c r="H62" s="14">
        <f>'Параметры'!$C$12</f>
        <v>1</v>
      </c>
      <c r="I62" s="16">
        <f>G62-H62</f>
        <v>2</v>
      </c>
    </row>
    <row r="63">
      <c r="A63" s="9" t="inlineStr">
        <is>
          <t>А</t>
        </is>
      </c>
      <c r="B63" s="21" t="inlineStr">
        <is>
          <t>№9</t>
        </is>
      </c>
      <c r="C63" s="21" t="inlineStr">
        <is>
          <t>3</t>
        </is>
      </c>
      <c r="D63" s="10" t="n">
        <v>1061.5</v>
      </c>
      <c r="E63" s="10">
        <f>D63*'Параметры'!$C$9*'Параметры'!$C$10</f>
        <v>530.75</v>
      </c>
      <c r="F63" s="23">
        <f>E63*'Параметры'!$C$8/100</f>
        <v>53.075</v>
      </c>
      <c r="G63" s="11">
        <f>ROUNDUP(F63/'Параметры'!$C$11,0)</f>
        <v>3</v>
      </c>
      <c r="H63" s="10">
        <f>'Параметры'!$C$12</f>
        <v>1</v>
      </c>
      <c r="I63" s="12">
        <f>G63-H63</f>
        <v>2</v>
      </c>
    </row>
    <row r="64">
      <c r="A64" s="13" t="inlineStr">
        <is>
          <t>А</t>
        </is>
      </c>
      <c r="B64" s="24" t="inlineStr">
        <is>
          <t>№9</t>
        </is>
      </c>
      <c r="C64" s="24" t="inlineStr">
        <is>
          <t>4</t>
        </is>
      </c>
      <c r="D64" s="14" t="n">
        <v>1061.5</v>
      </c>
      <c r="E64" s="14">
        <f>D64*'Параметры'!$C$9*'Параметры'!$C$10</f>
        <v>530.75</v>
      </c>
      <c r="F64" s="25">
        <f>E64*'Параметры'!$C$8/100</f>
        <v>53.075</v>
      </c>
      <c r="G64" s="15">
        <f>ROUNDUP(F64/'Параметры'!$C$11,0)</f>
        <v>3</v>
      </c>
      <c r="H64" s="14">
        <f>'Параметры'!$C$12</f>
        <v>1</v>
      </c>
      <c r="I64" s="16">
        <f>G64-H64</f>
        <v>2</v>
      </c>
    </row>
    <row r="65">
      <c r="A65" s="9" t="inlineStr">
        <is>
          <t>А</t>
        </is>
      </c>
      <c r="B65" s="21" t="inlineStr">
        <is>
          <t>№9</t>
        </is>
      </c>
      <c r="C65" s="21" t="inlineStr">
        <is>
          <t>5</t>
        </is>
      </c>
      <c r="D65" s="10" t="n">
        <v>1061.5</v>
      </c>
      <c r="E65" s="10">
        <f>D65*'Параметры'!$C$9*'Параметры'!$C$10</f>
        <v>530.75</v>
      </c>
      <c r="F65" s="23">
        <f>E65*'Параметры'!$C$8/100</f>
        <v>53.075</v>
      </c>
      <c r="G65" s="11">
        <f>ROUNDUP(F65/'Параметры'!$C$11,0)</f>
        <v>3</v>
      </c>
      <c r="H65" s="10">
        <f>'Параметры'!$C$12</f>
        <v>1</v>
      </c>
      <c r="I65" s="12">
        <f>G65-H65</f>
        <v>2</v>
      </c>
    </row>
    <row r="66">
      <c r="A66" s="13" t="inlineStr">
        <is>
          <t>А</t>
        </is>
      </c>
      <c r="B66" s="24" t="inlineStr">
        <is>
          <t>№9</t>
        </is>
      </c>
      <c r="C66" s="24" t="inlineStr">
        <is>
          <t>6</t>
        </is>
      </c>
      <c r="D66" s="14" t="n">
        <v>1114.5</v>
      </c>
      <c r="E66" s="14">
        <f>D66*'Параметры'!$C$9*'Параметры'!$C$10</f>
        <v>557.25</v>
      </c>
      <c r="F66" s="25">
        <f>E66*'Параметры'!$C$8/100</f>
        <v>55.725</v>
      </c>
      <c r="G66" s="15">
        <f>ROUNDUP(F66/'Параметры'!$C$11,0)</f>
        <v>3</v>
      </c>
      <c r="H66" s="14">
        <f>'Параметры'!$C$12</f>
        <v>1</v>
      </c>
      <c r="I66" s="16">
        <f>G66-H66</f>
        <v>2</v>
      </c>
    </row>
    <row r="67">
      <c r="A67" s="9" t="inlineStr">
        <is>
          <t>А</t>
        </is>
      </c>
      <c r="B67" s="21" t="inlineStr">
        <is>
          <t>№9</t>
        </is>
      </c>
      <c r="C67" s="21" t="inlineStr">
        <is>
          <t>7</t>
        </is>
      </c>
      <c r="D67" s="10" t="n">
        <v>1098.2</v>
      </c>
      <c r="E67" s="10">
        <f>D67*'Параметры'!$C$9*'Параметры'!$C$10</f>
        <v>549.1</v>
      </c>
      <c r="F67" s="23">
        <f>E67*'Параметры'!$C$8/100</f>
        <v>54.91</v>
      </c>
      <c r="G67" s="11">
        <f>ROUNDUP(F67/'Параметры'!$C$11,0)</f>
        <v>3</v>
      </c>
      <c r="H67" s="10">
        <f>'Параметры'!$C$12</f>
        <v>1</v>
      </c>
      <c r="I67" s="12">
        <f>G67-H67</f>
        <v>2</v>
      </c>
    </row>
    <row r="68">
      <c r="A68" s="13" t="inlineStr">
        <is>
          <t>А</t>
        </is>
      </c>
      <c r="B68" s="24" t="inlineStr">
        <is>
          <t>№9</t>
        </is>
      </c>
      <c r="C68" s="24" t="inlineStr">
        <is>
          <t>8</t>
        </is>
      </c>
      <c r="D68" s="14" t="n">
        <v>1098.2</v>
      </c>
      <c r="E68" s="14">
        <f>D68*'Параметры'!$C$9*'Параметры'!$C$10</f>
        <v>549.1</v>
      </c>
      <c r="F68" s="25">
        <f>E68*'Параметры'!$C$8/100</f>
        <v>54.91</v>
      </c>
      <c r="G68" s="15">
        <f>ROUNDUP(F68/'Параметры'!$C$11,0)</f>
        <v>3</v>
      </c>
      <c r="H68" s="14">
        <f>'Параметры'!$C$12</f>
        <v>1</v>
      </c>
      <c r="I68" s="16">
        <f>G68-H68</f>
        <v>2</v>
      </c>
    </row>
    <row r="69">
      <c r="A69" s="9" t="inlineStr">
        <is>
          <t>А</t>
        </is>
      </c>
      <c r="B69" s="21" t="inlineStr">
        <is>
          <t>№9</t>
        </is>
      </c>
      <c r="C69" s="21" t="inlineStr">
        <is>
          <t>9</t>
        </is>
      </c>
      <c r="D69" s="10" t="n">
        <v>1098.2</v>
      </c>
      <c r="E69" s="10">
        <f>D69*'Параметры'!$C$9*'Параметры'!$C$10</f>
        <v>549.1</v>
      </c>
      <c r="F69" s="23">
        <f>E69*'Параметры'!$C$8/100</f>
        <v>54.91</v>
      </c>
      <c r="G69" s="11">
        <f>ROUNDUP(F69/'Параметры'!$C$11,0)</f>
        <v>3</v>
      </c>
      <c r="H69" s="10">
        <f>'Параметры'!$C$12</f>
        <v>1</v>
      </c>
      <c r="I69" s="12">
        <f>G69-H69</f>
        <v>2</v>
      </c>
    </row>
    <row r="70">
      <c r="A70" s="13" t="inlineStr">
        <is>
          <t>А</t>
        </is>
      </c>
      <c r="B70" s="24" t="inlineStr">
        <is>
          <t>№9</t>
        </is>
      </c>
      <c r="C70" s="24" t="inlineStr">
        <is>
          <t>10</t>
        </is>
      </c>
      <c r="D70" s="14" t="n">
        <v>1098.2</v>
      </c>
      <c r="E70" s="14">
        <f>D70*'Параметры'!$C$9*'Параметры'!$C$10</f>
        <v>549.1</v>
      </c>
      <c r="F70" s="25">
        <f>E70*'Параметры'!$C$8/100</f>
        <v>54.91</v>
      </c>
      <c r="G70" s="15">
        <f>ROUNDUP(F70/'Параметры'!$C$11,0)</f>
        <v>3</v>
      </c>
      <c r="H70" s="14">
        <f>'Параметры'!$C$12</f>
        <v>1</v>
      </c>
      <c r="I70" s="16">
        <f>G70-H70</f>
        <v>2</v>
      </c>
    </row>
    <row r="71">
      <c r="A71" s="9" t="inlineStr">
        <is>
          <t>Ж</t>
        </is>
      </c>
      <c r="B71" s="21" t="inlineStr">
        <is>
          <t>№10</t>
        </is>
      </c>
      <c r="C71" s="21" t="inlineStr">
        <is>
          <t>1</t>
        </is>
      </c>
      <c r="D71" s="10" t="n">
        <v>1122.9</v>
      </c>
      <c r="E71" s="10">
        <f>D71*'Параметры'!$C$9*'Параметры'!$C$10</f>
        <v>561.45</v>
      </c>
      <c r="F71" s="23">
        <f>E71*'Параметры'!$C$8/100</f>
        <v>56.145</v>
      </c>
      <c r="G71" s="11">
        <f>ROUNDUP(F71/'Параметры'!$C$11,0)</f>
        <v>3</v>
      </c>
      <c r="H71" s="10">
        <f>'Параметры'!$C$12</f>
        <v>1</v>
      </c>
      <c r="I71" s="12">
        <f>G71-H71</f>
        <v>2</v>
      </c>
    </row>
    <row r="72">
      <c r="A72" s="13" t="inlineStr">
        <is>
          <t>Ж</t>
        </is>
      </c>
      <c r="B72" s="24" t="inlineStr">
        <is>
          <t>№10</t>
        </is>
      </c>
      <c r="C72" s="24" t="inlineStr">
        <is>
          <t>2</t>
        </is>
      </c>
      <c r="D72" s="14" t="n">
        <v>1123</v>
      </c>
      <c r="E72" s="14">
        <f>D72*'Параметры'!$C$9*'Параметры'!$C$10</f>
        <v>561.5</v>
      </c>
      <c r="F72" s="25">
        <f>E72*'Параметры'!$C$8/100</f>
        <v>56.15</v>
      </c>
      <c r="G72" s="15">
        <f>ROUNDUP(F72/'Параметры'!$C$11,0)</f>
        <v>3</v>
      </c>
      <c r="H72" s="14">
        <f>'Параметры'!$C$12</f>
        <v>1</v>
      </c>
      <c r="I72" s="16">
        <f>G72-H72</f>
        <v>2</v>
      </c>
    </row>
    <row r="73">
      <c r="A73" s="9" t="inlineStr">
        <is>
          <t>Ж</t>
        </is>
      </c>
      <c r="B73" s="21" t="inlineStr">
        <is>
          <t>№10</t>
        </is>
      </c>
      <c r="C73" s="21" t="inlineStr">
        <is>
          <t>3</t>
        </is>
      </c>
      <c r="D73" s="10" t="n">
        <v>1123</v>
      </c>
      <c r="E73" s="10">
        <f>D73*'Параметры'!$C$9*'Параметры'!$C$10</f>
        <v>561.5</v>
      </c>
      <c r="F73" s="23">
        <f>E73*'Параметры'!$C$8/100</f>
        <v>56.15</v>
      </c>
      <c r="G73" s="11">
        <f>ROUNDUP(F73/'Параметры'!$C$11,0)</f>
        <v>3</v>
      </c>
      <c r="H73" s="10">
        <f>'Параметры'!$C$12</f>
        <v>1</v>
      </c>
      <c r="I73" s="12">
        <f>G73-H73</f>
        <v>2</v>
      </c>
    </row>
    <row r="74">
      <c r="A74" s="13" t="inlineStr">
        <is>
          <t>Ж</t>
        </is>
      </c>
      <c r="B74" s="24" t="inlineStr">
        <is>
          <t>№10</t>
        </is>
      </c>
      <c r="C74" s="24" t="inlineStr">
        <is>
          <t>4</t>
        </is>
      </c>
      <c r="D74" s="14" t="n">
        <v>1123</v>
      </c>
      <c r="E74" s="14">
        <f>D74*'Параметры'!$C$9*'Параметры'!$C$10</f>
        <v>561.5</v>
      </c>
      <c r="F74" s="25">
        <f>E74*'Параметры'!$C$8/100</f>
        <v>56.15</v>
      </c>
      <c r="G74" s="15">
        <f>ROUNDUP(F74/'Параметры'!$C$11,0)</f>
        <v>3</v>
      </c>
      <c r="H74" s="14">
        <f>'Параметры'!$C$12</f>
        <v>1</v>
      </c>
      <c r="I74" s="16">
        <f>G74-H74</f>
        <v>2</v>
      </c>
    </row>
    <row r="75">
      <c r="A75" s="9" t="inlineStr">
        <is>
          <t>Ж</t>
        </is>
      </c>
      <c r="B75" s="21" t="inlineStr">
        <is>
          <t>№10</t>
        </is>
      </c>
      <c r="C75" s="21" t="inlineStr">
        <is>
          <t>5</t>
        </is>
      </c>
      <c r="D75" s="10" t="n">
        <v>1123</v>
      </c>
      <c r="E75" s="10">
        <f>D75*'Параметры'!$C$9*'Параметры'!$C$10</f>
        <v>561.5</v>
      </c>
      <c r="F75" s="23">
        <f>E75*'Параметры'!$C$8/100</f>
        <v>56.15</v>
      </c>
      <c r="G75" s="11">
        <f>ROUNDUP(F75/'Параметры'!$C$11,0)</f>
        <v>3</v>
      </c>
      <c r="H75" s="10">
        <f>'Параметры'!$C$12</f>
        <v>1</v>
      </c>
      <c r="I75" s="12">
        <f>G75-H75</f>
        <v>2</v>
      </c>
    </row>
    <row r="76">
      <c r="A76" s="13" t="inlineStr">
        <is>
          <t>В</t>
        </is>
      </c>
      <c r="B76" s="24" t="inlineStr">
        <is>
          <t>№11</t>
        </is>
      </c>
      <c r="C76" s="24" t="inlineStr">
        <is>
          <t>1</t>
        </is>
      </c>
      <c r="D76" s="14" t="n">
        <v>1680</v>
      </c>
      <c r="E76" s="14">
        <f>D76*'Параметры'!$C$9*'Параметры'!$C$10</f>
        <v>840</v>
      </c>
      <c r="F76" s="25">
        <f>E76*'Параметры'!$C$8/100</f>
        <v>84</v>
      </c>
      <c r="G76" s="15">
        <f>ROUNDUP(F76/'Параметры'!$C$11,0)</f>
        <v>4</v>
      </c>
      <c r="H76" s="14">
        <f>'Параметры'!$C$12</f>
        <v>1</v>
      </c>
      <c r="I76" s="16">
        <f>G76-H76</f>
        <v>3</v>
      </c>
    </row>
    <row r="77">
      <c r="A77" s="9" t="inlineStr">
        <is>
          <t>В</t>
        </is>
      </c>
      <c r="B77" s="21" t="inlineStr">
        <is>
          <t>№11</t>
        </is>
      </c>
      <c r="C77" s="21" t="inlineStr">
        <is>
          <t>2</t>
        </is>
      </c>
      <c r="D77" s="10" t="n">
        <v>1680</v>
      </c>
      <c r="E77" s="10">
        <f>D77*'Параметры'!$C$9*'Параметры'!$C$10</f>
        <v>840</v>
      </c>
      <c r="F77" s="23">
        <f>E77*'Параметры'!$C$8/100</f>
        <v>84</v>
      </c>
      <c r="G77" s="11">
        <f>ROUNDUP(F77/'Параметры'!$C$11,0)</f>
        <v>4</v>
      </c>
      <c r="H77" s="10">
        <f>'Параметры'!$C$12</f>
        <v>1</v>
      </c>
      <c r="I77" s="12">
        <f>G77-H77</f>
        <v>3</v>
      </c>
    </row>
    <row r="78">
      <c r="A78" s="13" t="inlineStr">
        <is>
          <t>В</t>
        </is>
      </c>
      <c r="B78" s="24" t="inlineStr">
        <is>
          <t>№11</t>
        </is>
      </c>
      <c r="C78" s="24" t="inlineStr">
        <is>
          <t>3</t>
        </is>
      </c>
      <c r="D78" s="14" t="n">
        <v>1680</v>
      </c>
      <c r="E78" s="14">
        <f>D78*'Параметры'!$C$9*'Параметры'!$C$10</f>
        <v>840</v>
      </c>
      <c r="F78" s="25">
        <f>E78*'Параметры'!$C$8/100</f>
        <v>84</v>
      </c>
      <c r="G78" s="15">
        <f>ROUNDUP(F78/'Параметры'!$C$11,0)</f>
        <v>4</v>
      </c>
      <c r="H78" s="14">
        <f>'Параметры'!$C$12</f>
        <v>1</v>
      </c>
      <c r="I78" s="16">
        <f>G78-H78</f>
        <v>3</v>
      </c>
    </row>
    <row r="79">
      <c r="A79" s="9" t="inlineStr">
        <is>
          <t>В</t>
        </is>
      </c>
      <c r="B79" s="21" t="inlineStr">
        <is>
          <t>№11</t>
        </is>
      </c>
      <c r="C79" s="21" t="inlineStr">
        <is>
          <t>4</t>
        </is>
      </c>
      <c r="D79" s="10" t="n">
        <v>1610</v>
      </c>
      <c r="E79" s="10">
        <f>D79*'Параметры'!$C$9*'Параметры'!$C$10</f>
        <v>805</v>
      </c>
      <c r="F79" s="23">
        <f>E79*'Параметры'!$C$8/100</f>
        <v>80.5</v>
      </c>
      <c r="G79" s="11">
        <f>ROUNDUP(F79/'Параметры'!$C$11,0)</f>
        <v>4</v>
      </c>
      <c r="H79" s="10">
        <f>'Параметры'!$C$12</f>
        <v>1</v>
      </c>
      <c r="I79" s="12">
        <f>G79-H79</f>
        <v>3</v>
      </c>
    </row>
    <row r="80">
      <c r="A80" s="13" t="inlineStr">
        <is>
          <t>В</t>
        </is>
      </c>
      <c r="B80" s="24" t="inlineStr">
        <is>
          <t>№11</t>
        </is>
      </c>
      <c r="C80" s="24" t="inlineStr">
        <is>
          <t>5</t>
        </is>
      </c>
      <c r="D80" s="14" t="n">
        <v>1610</v>
      </c>
      <c r="E80" s="14">
        <f>D80*'Параметры'!$C$9*'Параметры'!$C$10</f>
        <v>805</v>
      </c>
      <c r="F80" s="25">
        <f>E80*'Параметры'!$C$8/100</f>
        <v>80.5</v>
      </c>
      <c r="G80" s="15">
        <f>ROUNDUP(F80/'Параметры'!$C$11,0)</f>
        <v>4</v>
      </c>
      <c r="H80" s="14">
        <f>'Параметры'!$C$12</f>
        <v>1</v>
      </c>
      <c r="I80" s="16">
        <f>G80-H80</f>
        <v>3</v>
      </c>
    </row>
    <row r="81">
      <c r="A81" s="9" t="inlineStr">
        <is>
          <t>В</t>
        </is>
      </c>
      <c r="B81" s="21" t="inlineStr">
        <is>
          <t>№11</t>
        </is>
      </c>
      <c r="C81" s="21" t="inlineStr">
        <is>
          <t>6</t>
        </is>
      </c>
      <c r="D81" s="10" t="n">
        <v>1610</v>
      </c>
      <c r="E81" s="10">
        <f>D81*'Параметры'!$C$9*'Параметры'!$C$10</f>
        <v>805</v>
      </c>
      <c r="F81" s="23">
        <f>E81*'Параметры'!$C$8/100</f>
        <v>80.5</v>
      </c>
      <c r="G81" s="11">
        <f>ROUNDUP(F81/'Параметры'!$C$11,0)</f>
        <v>4</v>
      </c>
      <c r="H81" s="10">
        <f>'Параметры'!$C$12</f>
        <v>1</v>
      </c>
      <c r="I81" s="12">
        <f>G81-H81</f>
        <v>3</v>
      </c>
    </row>
    <row r="82">
      <c r="A82" s="13" t="inlineStr">
        <is>
          <t>В</t>
        </is>
      </c>
      <c r="B82" s="24" t="inlineStr">
        <is>
          <t>№11</t>
        </is>
      </c>
      <c r="C82" s="24" t="inlineStr">
        <is>
          <t>7</t>
        </is>
      </c>
      <c r="D82" s="14" t="n">
        <v>1620</v>
      </c>
      <c r="E82" s="14">
        <f>D82*'Параметры'!$C$9*'Параметры'!$C$10</f>
        <v>810</v>
      </c>
      <c r="F82" s="25">
        <f>E82*'Параметры'!$C$8/100</f>
        <v>81</v>
      </c>
      <c r="G82" s="15">
        <f>ROUNDUP(F82/'Параметры'!$C$11,0)</f>
        <v>4</v>
      </c>
      <c r="H82" s="14">
        <f>'Параметры'!$C$12</f>
        <v>1</v>
      </c>
      <c r="I82" s="16">
        <f>G82-H82</f>
        <v>3</v>
      </c>
    </row>
    <row r="83">
      <c r="A83" s="9" t="inlineStr">
        <is>
          <t>В</t>
        </is>
      </c>
      <c r="B83" s="21" t="inlineStr">
        <is>
          <t>№11</t>
        </is>
      </c>
      <c r="C83" s="21" t="inlineStr">
        <is>
          <t>8</t>
        </is>
      </c>
      <c r="D83" s="10" t="n">
        <v>1620</v>
      </c>
      <c r="E83" s="10">
        <f>D83*'Параметры'!$C$9*'Параметры'!$C$10</f>
        <v>810</v>
      </c>
      <c r="F83" s="23">
        <f>E83*'Параметры'!$C$8/100</f>
        <v>81</v>
      </c>
      <c r="G83" s="11">
        <f>ROUNDUP(F83/'Параметры'!$C$11,0)</f>
        <v>4</v>
      </c>
      <c r="H83" s="10">
        <f>'Параметры'!$C$12</f>
        <v>1</v>
      </c>
      <c r="I83" s="12">
        <f>G83-H83</f>
        <v>3</v>
      </c>
    </row>
    <row r="84">
      <c r="A84" s="13" t="inlineStr">
        <is>
          <t>В</t>
        </is>
      </c>
      <c r="B84" s="24" t="inlineStr">
        <is>
          <t>№11</t>
        </is>
      </c>
      <c r="C84" s="24" t="inlineStr">
        <is>
          <t>9</t>
        </is>
      </c>
      <c r="D84" s="14" t="n">
        <v>1620</v>
      </c>
      <c r="E84" s="14">
        <f>D84*'Параметры'!$C$9*'Параметры'!$C$10</f>
        <v>810</v>
      </c>
      <c r="F84" s="25">
        <f>E84*'Параметры'!$C$8/100</f>
        <v>81</v>
      </c>
      <c r="G84" s="15">
        <f>ROUNDUP(F84/'Параметры'!$C$11,0)</f>
        <v>4</v>
      </c>
      <c r="H84" s="14">
        <f>'Параметры'!$C$12</f>
        <v>1</v>
      </c>
      <c r="I84" s="16">
        <f>G84-H84</f>
        <v>3</v>
      </c>
    </row>
    <row r="85">
      <c r="A85" s="9" t="inlineStr">
        <is>
          <t>В</t>
        </is>
      </c>
      <c r="B85" s="21" t="inlineStr">
        <is>
          <t>№11</t>
        </is>
      </c>
      <c r="C85" s="21" t="inlineStr">
        <is>
          <t>10</t>
        </is>
      </c>
      <c r="D85" s="10" t="n">
        <v>1620</v>
      </c>
      <c r="E85" s="10">
        <f>D85*'Параметры'!$C$9*'Параметры'!$C$10</f>
        <v>810</v>
      </c>
      <c r="F85" s="23">
        <f>E85*'Параметры'!$C$8/100</f>
        <v>81</v>
      </c>
      <c r="G85" s="11">
        <f>ROUNDUP(F85/'Параметры'!$C$11,0)</f>
        <v>4</v>
      </c>
      <c r="H85" s="10">
        <f>'Параметры'!$C$12</f>
        <v>1</v>
      </c>
      <c r="I85" s="12">
        <f>G85-H85</f>
        <v>3</v>
      </c>
    </row>
    <row r="86">
      <c r="A86" s="13" t="inlineStr">
        <is>
          <t>В</t>
        </is>
      </c>
      <c r="B86" s="24" t="inlineStr">
        <is>
          <t>№11</t>
        </is>
      </c>
      <c r="C86" s="24" t="inlineStr">
        <is>
          <t>11</t>
        </is>
      </c>
      <c r="D86" s="14" t="n">
        <v>1620</v>
      </c>
      <c r="E86" s="14">
        <f>D86*'Параметры'!$C$9*'Параметры'!$C$10</f>
        <v>810</v>
      </c>
      <c r="F86" s="25">
        <f>E86*'Параметры'!$C$8/100</f>
        <v>81</v>
      </c>
      <c r="G86" s="15">
        <f>ROUNDUP(F86/'Параметры'!$C$11,0)</f>
        <v>4</v>
      </c>
      <c r="H86" s="14">
        <f>'Параметры'!$C$12</f>
        <v>1</v>
      </c>
      <c r="I86" s="16">
        <f>G86-H86</f>
        <v>3</v>
      </c>
    </row>
    <row r="87">
      <c r="A87" s="9" t="inlineStr">
        <is>
          <t>В</t>
        </is>
      </c>
      <c r="B87" s="21" t="inlineStr">
        <is>
          <t>№11</t>
        </is>
      </c>
      <c r="C87" s="21" t="inlineStr">
        <is>
          <t>12</t>
        </is>
      </c>
      <c r="D87" s="10" t="n">
        <v>1620</v>
      </c>
      <c r="E87" s="10">
        <f>D87*'Параметры'!$C$9*'Параметры'!$C$10</f>
        <v>810</v>
      </c>
      <c r="F87" s="23">
        <f>E87*'Параметры'!$C$8/100</f>
        <v>81</v>
      </c>
      <c r="G87" s="11">
        <f>ROUNDUP(F87/'Параметры'!$C$11,0)</f>
        <v>4</v>
      </c>
      <c r="H87" s="10">
        <f>'Параметры'!$C$12</f>
        <v>1</v>
      </c>
      <c r="I87" s="12">
        <f>G87-H87</f>
        <v>3</v>
      </c>
    </row>
    <row r="88">
      <c r="A88" s="13" t="inlineStr">
        <is>
          <t>В</t>
        </is>
      </c>
      <c r="B88" s="24" t="inlineStr">
        <is>
          <t>№11</t>
        </is>
      </c>
      <c r="C88" s="24" t="inlineStr">
        <is>
          <t>13</t>
        </is>
      </c>
      <c r="D88" s="14" t="n">
        <v>1680</v>
      </c>
      <c r="E88" s="14">
        <f>D88*'Параметры'!$C$9*'Параметры'!$C$10</f>
        <v>840</v>
      </c>
      <c r="F88" s="25">
        <f>E88*'Параметры'!$C$8/100</f>
        <v>84</v>
      </c>
      <c r="G88" s="15">
        <f>ROUNDUP(F88/'Параметры'!$C$11,0)</f>
        <v>4</v>
      </c>
      <c r="H88" s="14">
        <f>'Параметры'!$C$12</f>
        <v>1</v>
      </c>
      <c r="I88" s="16">
        <f>G88-H88</f>
        <v>3</v>
      </c>
    </row>
    <row r="89">
      <c r="A89" s="9" t="inlineStr">
        <is>
          <t>В</t>
        </is>
      </c>
      <c r="B89" s="21" t="inlineStr">
        <is>
          <t>№11</t>
        </is>
      </c>
      <c r="C89" s="21" t="inlineStr">
        <is>
          <t>14</t>
        </is>
      </c>
      <c r="D89" s="10" t="n">
        <v>1680</v>
      </c>
      <c r="E89" s="10">
        <f>D89*'Параметры'!$C$9*'Параметры'!$C$10</f>
        <v>840</v>
      </c>
      <c r="F89" s="23">
        <f>E89*'Параметры'!$C$8/100</f>
        <v>84</v>
      </c>
      <c r="G89" s="11">
        <f>ROUNDUP(F89/'Параметры'!$C$11,0)</f>
        <v>4</v>
      </c>
      <c r="H89" s="10">
        <f>'Параметры'!$C$12</f>
        <v>1</v>
      </c>
      <c r="I89" s="12">
        <f>G89-H89</f>
        <v>3</v>
      </c>
    </row>
    <row r="90">
      <c r="A90" s="13" t="inlineStr">
        <is>
          <t>В</t>
        </is>
      </c>
      <c r="B90" s="24" t="inlineStr">
        <is>
          <t>№11</t>
        </is>
      </c>
      <c r="C90" s="24" t="inlineStr">
        <is>
          <t>15</t>
        </is>
      </c>
      <c r="D90" s="14" t="n">
        <v>1680</v>
      </c>
      <c r="E90" s="14">
        <f>D90*'Параметры'!$C$9*'Параметры'!$C$10</f>
        <v>840</v>
      </c>
      <c r="F90" s="25">
        <f>E90*'Параметры'!$C$8/100</f>
        <v>84</v>
      </c>
      <c r="G90" s="15">
        <f>ROUNDUP(F90/'Параметры'!$C$11,0)</f>
        <v>4</v>
      </c>
      <c r="H90" s="14">
        <f>'Параметры'!$C$12</f>
        <v>1</v>
      </c>
      <c r="I90" s="16">
        <f>G90-H90</f>
        <v>3</v>
      </c>
    </row>
    <row r="91">
      <c r="A91" s="9" t="inlineStr">
        <is>
          <t>БП-12</t>
        </is>
      </c>
      <c r="B91" s="21" t="inlineStr">
        <is>
          <t>№12</t>
        </is>
      </c>
      <c r="C91" s="21" t="inlineStr">
        <is>
          <t>1</t>
        </is>
      </c>
      <c r="D91" s="10" t="n">
        <v>1670</v>
      </c>
      <c r="E91" s="10">
        <f>D91*'Параметры'!$C$9*'Параметры'!$C$10</f>
        <v>835</v>
      </c>
      <c r="F91" s="23">
        <f>E91*'Параметры'!$C$8/100</f>
        <v>83.5</v>
      </c>
      <c r="G91" s="11">
        <f>ROUNDUP(F91/'Параметры'!$C$11,0)</f>
        <v>4</v>
      </c>
      <c r="H91" s="10">
        <f>'Параметры'!$C$12</f>
        <v>1</v>
      </c>
      <c r="I91" s="12">
        <f>G91-H91</f>
        <v>3</v>
      </c>
    </row>
    <row r="92">
      <c r="A92" s="13" t="inlineStr">
        <is>
          <t>БП-12</t>
        </is>
      </c>
      <c r="B92" s="24" t="inlineStr">
        <is>
          <t>№12</t>
        </is>
      </c>
      <c r="C92" s="24" t="inlineStr">
        <is>
          <t>2</t>
        </is>
      </c>
      <c r="D92" s="14" t="n">
        <v>1670</v>
      </c>
      <c r="E92" s="14">
        <f>D92*'Параметры'!$C$9*'Параметры'!$C$10</f>
        <v>835</v>
      </c>
      <c r="F92" s="25">
        <f>E92*'Параметры'!$C$8/100</f>
        <v>83.5</v>
      </c>
      <c r="G92" s="15">
        <f>ROUNDUP(F92/'Параметры'!$C$11,0)</f>
        <v>4</v>
      </c>
      <c r="H92" s="14">
        <f>'Параметры'!$C$12</f>
        <v>1</v>
      </c>
      <c r="I92" s="16">
        <f>G92-H92</f>
        <v>3</v>
      </c>
    </row>
    <row r="93">
      <c r="A93" s="9" t="inlineStr">
        <is>
          <t>БП-12</t>
        </is>
      </c>
      <c r="B93" s="21" t="inlineStr">
        <is>
          <t>№12</t>
        </is>
      </c>
      <c r="C93" s="21" t="inlineStr">
        <is>
          <t>3</t>
        </is>
      </c>
      <c r="D93" s="10" t="n">
        <v>1670</v>
      </c>
      <c r="E93" s="10">
        <f>D93*'Параметры'!$C$9*'Параметры'!$C$10</f>
        <v>835</v>
      </c>
      <c r="F93" s="23">
        <f>E93*'Параметры'!$C$8/100</f>
        <v>83.5</v>
      </c>
      <c r="G93" s="11">
        <f>ROUNDUP(F93/'Параметры'!$C$11,0)</f>
        <v>4</v>
      </c>
      <c r="H93" s="10">
        <f>'Параметры'!$C$12</f>
        <v>1</v>
      </c>
      <c r="I93" s="12">
        <f>G93-H93</f>
        <v>3</v>
      </c>
    </row>
    <row r="94">
      <c r="A94" s="13" t="inlineStr">
        <is>
          <t>БП-12</t>
        </is>
      </c>
      <c r="B94" s="24" t="inlineStr">
        <is>
          <t>№12</t>
        </is>
      </c>
      <c r="C94" s="24" t="inlineStr">
        <is>
          <t>4</t>
        </is>
      </c>
      <c r="D94" s="14" t="n">
        <v>1670</v>
      </c>
      <c r="E94" s="14">
        <f>D94*'Параметры'!$C$9*'Параметры'!$C$10</f>
        <v>835</v>
      </c>
      <c r="F94" s="25">
        <f>E94*'Параметры'!$C$8/100</f>
        <v>83.5</v>
      </c>
      <c r="G94" s="15">
        <f>ROUNDUP(F94/'Параметры'!$C$11,0)</f>
        <v>4</v>
      </c>
      <c r="H94" s="14">
        <f>'Параметры'!$C$12</f>
        <v>1</v>
      </c>
      <c r="I94" s="16">
        <f>G94-H94</f>
        <v>3</v>
      </c>
    </row>
    <row r="95">
      <c r="A95" s="9" t="inlineStr">
        <is>
          <t>БП-12</t>
        </is>
      </c>
      <c r="B95" s="21" t="inlineStr">
        <is>
          <t>№12</t>
        </is>
      </c>
      <c r="C95" s="21" t="inlineStr">
        <is>
          <t>5</t>
        </is>
      </c>
      <c r="D95" s="10" t="n">
        <v>1670</v>
      </c>
      <c r="E95" s="10">
        <f>D95*'Параметры'!$C$9*'Параметры'!$C$10</f>
        <v>835</v>
      </c>
      <c r="F95" s="23">
        <f>E95*'Параметры'!$C$8/100</f>
        <v>83.5</v>
      </c>
      <c r="G95" s="11">
        <f>ROUNDUP(F95/'Параметры'!$C$11,0)</f>
        <v>4</v>
      </c>
      <c r="H95" s="10">
        <f>'Параметры'!$C$12</f>
        <v>1</v>
      </c>
      <c r="I95" s="12">
        <f>G95-H95</f>
        <v>3</v>
      </c>
    </row>
    <row r="96">
      <c r="A96" s="13" t="inlineStr">
        <is>
          <t>БП-12</t>
        </is>
      </c>
      <c r="B96" s="24" t="inlineStr">
        <is>
          <t>№12</t>
        </is>
      </c>
      <c r="C96" s="24" t="inlineStr">
        <is>
          <t>6</t>
        </is>
      </c>
      <c r="D96" s="14" t="n">
        <v>1670</v>
      </c>
      <c r="E96" s="14">
        <f>D96*'Параметры'!$C$9*'Параметры'!$C$10</f>
        <v>835</v>
      </c>
      <c r="F96" s="25">
        <f>E96*'Параметры'!$C$8/100</f>
        <v>83.5</v>
      </c>
      <c r="G96" s="15">
        <f>ROUNDUP(F96/'Параметры'!$C$11,0)</f>
        <v>4</v>
      </c>
      <c r="H96" s="14">
        <f>'Параметры'!$C$12</f>
        <v>1</v>
      </c>
      <c r="I96" s="16">
        <f>G96-H96</f>
        <v>3</v>
      </c>
    </row>
    <row r="97">
      <c r="A97" s="9" t="inlineStr">
        <is>
          <t>БП-12</t>
        </is>
      </c>
      <c r="B97" s="21" t="inlineStr">
        <is>
          <t>№12</t>
        </is>
      </c>
      <c r="C97" s="21" t="inlineStr">
        <is>
          <t>7</t>
        </is>
      </c>
      <c r="D97" s="10" t="n">
        <v>1670</v>
      </c>
      <c r="E97" s="10">
        <f>D97*'Параметры'!$C$9*'Параметры'!$C$10</f>
        <v>835</v>
      </c>
      <c r="F97" s="23">
        <f>E97*'Параметры'!$C$8/100</f>
        <v>83.5</v>
      </c>
      <c r="G97" s="11">
        <f>ROUNDUP(F97/'Параметры'!$C$11,0)</f>
        <v>4</v>
      </c>
      <c r="H97" s="10">
        <f>'Параметры'!$C$12</f>
        <v>1</v>
      </c>
      <c r="I97" s="12">
        <f>G97-H97</f>
        <v>3</v>
      </c>
    </row>
    <row r="98">
      <c r="A98" s="13" t="inlineStr">
        <is>
          <t>БП-12</t>
        </is>
      </c>
      <c r="B98" s="24" t="inlineStr">
        <is>
          <t>№12</t>
        </is>
      </c>
      <c r="C98" s="24" t="inlineStr">
        <is>
          <t>8</t>
        </is>
      </c>
      <c r="D98" s="14" t="n">
        <v>1670</v>
      </c>
      <c r="E98" s="14">
        <f>D98*'Параметры'!$C$9*'Параметры'!$C$10</f>
        <v>835</v>
      </c>
      <c r="F98" s="25">
        <f>E98*'Параметры'!$C$8/100</f>
        <v>83.5</v>
      </c>
      <c r="G98" s="15">
        <f>ROUNDUP(F98/'Параметры'!$C$11,0)</f>
        <v>4</v>
      </c>
      <c r="H98" s="14">
        <f>'Параметры'!$C$12</f>
        <v>1</v>
      </c>
      <c r="I98" s="16">
        <f>G98-H98</f>
        <v>3</v>
      </c>
    </row>
    <row r="99">
      <c r="A99" s="9" t="inlineStr">
        <is>
          <t>БП-12</t>
        </is>
      </c>
      <c r="B99" s="21" t="inlineStr">
        <is>
          <t>№12</t>
        </is>
      </c>
      <c r="C99" s="21" t="inlineStr">
        <is>
          <t>9</t>
        </is>
      </c>
      <c r="D99" s="10" t="n">
        <v>1670</v>
      </c>
      <c r="E99" s="10">
        <f>D99*'Параметры'!$C$9*'Параметры'!$C$10</f>
        <v>835</v>
      </c>
      <c r="F99" s="23">
        <f>E99*'Параметры'!$C$8/100</f>
        <v>83.5</v>
      </c>
      <c r="G99" s="11">
        <f>ROUNDUP(F99/'Параметры'!$C$11,0)</f>
        <v>4</v>
      </c>
      <c r="H99" s="10">
        <f>'Параметры'!$C$12</f>
        <v>1</v>
      </c>
      <c r="I99" s="12">
        <f>G99-H99</f>
        <v>3</v>
      </c>
    </row>
    <row r="100">
      <c r="A100" s="13" t="inlineStr">
        <is>
          <t>БП-12</t>
        </is>
      </c>
      <c r="B100" s="24" t="inlineStr">
        <is>
          <t>№12</t>
        </is>
      </c>
      <c r="C100" s="24" t="inlineStr">
        <is>
          <t>10</t>
        </is>
      </c>
      <c r="D100" s="14" t="n">
        <v>1670</v>
      </c>
      <c r="E100" s="14">
        <f>D100*'Параметры'!$C$9*'Параметры'!$C$10</f>
        <v>835</v>
      </c>
      <c r="F100" s="25">
        <f>E100*'Параметры'!$C$8/100</f>
        <v>83.5</v>
      </c>
      <c r="G100" s="15">
        <f>ROUNDUP(F100/'Параметры'!$C$11,0)</f>
        <v>4</v>
      </c>
      <c r="H100" s="14">
        <f>'Параметры'!$C$12</f>
        <v>1</v>
      </c>
      <c r="I100" s="16">
        <f>G100-H100</f>
        <v>3</v>
      </c>
    </row>
    <row r="101">
      <c r="A101" s="9" t="inlineStr">
        <is>
          <t>БП-12</t>
        </is>
      </c>
      <c r="B101" s="21" t="inlineStr">
        <is>
          <t>№12</t>
        </is>
      </c>
      <c r="C101" s="21" t="inlineStr">
        <is>
          <t>11</t>
        </is>
      </c>
      <c r="D101" s="10" t="n">
        <v>1670</v>
      </c>
      <c r="E101" s="10">
        <f>D101*'Параметры'!$C$9*'Параметры'!$C$10</f>
        <v>835</v>
      </c>
      <c r="F101" s="23">
        <f>E101*'Параметры'!$C$8/100</f>
        <v>83.5</v>
      </c>
      <c r="G101" s="11">
        <f>ROUNDUP(F101/'Параметры'!$C$11,0)</f>
        <v>4</v>
      </c>
      <c r="H101" s="10">
        <f>'Параметры'!$C$12</f>
        <v>1</v>
      </c>
      <c r="I101" s="12">
        <f>G101-H101</f>
        <v>3</v>
      </c>
    </row>
    <row r="102">
      <c r="A102" s="13" t="inlineStr">
        <is>
          <t>БП-12</t>
        </is>
      </c>
      <c r="B102" s="24" t="inlineStr">
        <is>
          <t>№12</t>
        </is>
      </c>
      <c r="C102" s="24" t="inlineStr">
        <is>
          <t>12</t>
        </is>
      </c>
      <c r="D102" s="14" t="n">
        <v>1670</v>
      </c>
      <c r="E102" s="14">
        <f>D102*'Параметры'!$C$9*'Параметры'!$C$10</f>
        <v>835</v>
      </c>
      <c r="F102" s="25">
        <f>E102*'Параметры'!$C$8/100</f>
        <v>83.5</v>
      </c>
      <c r="G102" s="15">
        <f>ROUNDUP(F102/'Параметры'!$C$11,0)</f>
        <v>4</v>
      </c>
      <c r="H102" s="14">
        <f>'Параметры'!$C$12</f>
        <v>1</v>
      </c>
      <c r="I102" s="16">
        <f>G102-H102</f>
        <v>3</v>
      </c>
    </row>
    <row r="103">
      <c r="A103" s="9" t="inlineStr">
        <is>
          <t>БП-13</t>
        </is>
      </c>
      <c r="B103" s="21" t="inlineStr">
        <is>
          <t>№13</t>
        </is>
      </c>
      <c r="C103" s="21" t="inlineStr">
        <is>
          <t>1</t>
        </is>
      </c>
      <c r="D103" s="10" t="n">
        <v>1670</v>
      </c>
      <c r="E103" s="10">
        <f>D103*'Параметры'!$C$9*'Параметры'!$C$10</f>
        <v>835</v>
      </c>
      <c r="F103" s="23">
        <f>E103*'Параметры'!$C$8/100</f>
        <v>83.5</v>
      </c>
      <c r="G103" s="11">
        <f>ROUNDUP(F103/'Параметры'!$C$11,0)</f>
        <v>4</v>
      </c>
      <c r="H103" s="10">
        <f>'Параметры'!$C$12</f>
        <v>1</v>
      </c>
      <c r="I103" s="12">
        <f>G103-H103</f>
        <v>3</v>
      </c>
    </row>
    <row r="104">
      <c r="A104" s="13" t="inlineStr">
        <is>
          <t>БП-13</t>
        </is>
      </c>
      <c r="B104" s="24" t="inlineStr">
        <is>
          <t>№13</t>
        </is>
      </c>
      <c r="C104" s="24" t="inlineStr">
        <is>
          <t>2</t>
        </is>
      </c>
      <c r="D104" s="14" t="n">
        <v>1670</v>
      </c>
      <c r="E104" s="14">
        <f>D104*'Параметры'!$C$9*'Параметры'!$C$10</f>
        <v>835</v>
      </c>
      <c r="F104" s="25">
        <f>E104*'Параметры'!$C$8/100</f>
        <v>83.5</v>
      </c>
      <c r="G104" s="15">
        <f>ROUNDUP(F104/'Параметры'!$C$11,0)</f>
        <v>4</v>
      </c>
      <c r="H104" s="14">
        <f>'Параметры'!$C$12</f>
        <v>1</v>
      </c>
      <c r="I104" s="16">
        <f>G104-H104</f>
        <v>3</v>
      </c>
    </row>
    <row r="105">
      <c r="A105" s="9" t="inlineStr">
        <is>
          <t>БП-13</t>
        </is>
      </c>
      <c r="B105" s="21" t="inlineStr">
        <is>
          <t>№13</t>
        </is>
      </c>
      <c r="C105" s="21" t="inlineStr">
        <is>
          <t>3</t>
        </is>
      </c>
      <c r="D105" s="10" t="n">
        <v>1670</v>
      </c>
      <c r="E105" s="10">
        <f>D105*'Параметры'!$C$9*'Параметры'!$C$10</f>
        <v>835</v>
      </c>
      <c r="F105" s="23">
        <f>E105*'Параметры'!$C$8/100</f>
        <v>83.5</v>
      </c>
      <c r="G105" s="11">
        <f>ROUNDUP(F105/'Параметры'!$C$11,0)</f>
        <v>4</v>
      </c>
      <c r="H105" s="10">
        <f>'Параметры'!$C$12</f>
        <v>1</v>
      </c>
      <c r="I105" s="12">
        <f>G105-H105</f>
        <v>3</v>
      </c>
    </row>
    <row r="106">
      <c r="A106" s="13" t="inlineStr">
        <is>
          <t>БП-13</t>
        </is>
      </c>
      <c r="B106" s="24" t="inlineStr">
        <is>
          <t>№13</t>
        </is>
      </c>
      <c r="C106" s="24" t="inlineStr">
        <is>
          <t>4</t>
        </is>
      </c>
      <c r="D106" s="14" t="n">
        <v>1670</v>
      </c>
      <c r="E106" s="14">
        <f>D106*'Параметры'!$C$9*'Параметры'!$C$10</f>
        <v>835</v>
      </c>
      <c r="F106" s="25">
        <f>E106*'Параметры'!$C$8/100</f>
        <v>83.5</v>
      </c>
      <c r="G106" s="15">
        <f>ROUNDUP(F106/'Параметры'!$C$11,0)</f>
        <v>4</v>
      </c>
      <c r="H106" s="14">
        <f>'Параметры'!$C$12</f>
        <v>1</v>
      </c>
      <c r="I106" s="16">
        <f>G106-H106</f>
        <v>3</v>
      </c>
    </row>
    <row r="107">
      <c r="A107" s="9" t="inlineStr">
        <is>
          <t>БП-13</t>
        </is>
      </c>
      <c r="B107" s="21" t="inlineStr">
        <is>
          <t>№13</t>
        </is>
      </c>
      <c r="C107" s="21" t="inlineStr">
        <is>
          <t>5</t>
        </is>
      </c>
      <c r="D107" s="10" t="n">
        <v>1670</v>
      </c>
      <c r="E107" s="10">
        <f>D107*'Параметры'!$C$9*'Параметры'!$C$10</f>
        <v>835</v>
      </c>
      <c r="F107" s="23">
        <f>E107*'Параметры'!$C$8/100</f>
        <v>83.5</v>
      </c>
      <c r="G107" s="11">
        <f>ROUNDUP(F107/'Параметры'!$C$11,0)</f>
        <v>4</v>
      </c>
      <c r="H107" s="10">
        <f>'Параметры'!$C$12</f>
        <v>1</v>
      </c>
      <c r="I107" s="12">
        <f>G107-H107</f>
        <v>3</v>
      </c>
    </row>
    <row r="108">
      <c r="A108" s="13" t="inlineStr">
        <is>
          <t>БП-13</t>
        </is>
      </c>
      <c r="B108" s="24" t="inlineStr">
        <is>
          <t>№13</t>
        </is>
      </c>
      <c r="C108" s="24" t="inlineStr">
        <is>
          <t>6</t>
        </is>
      </c>
      <c r="D108" s="14" t="n">
        <v>1670</v>
      </c>
      <c r="E108" s="14">
        <f>D108*'Параметры'!$C$9*'Параметры'!$C$10</f>
        <v>835</v>
      </c>
      <c r="F108" s="25">
        <f>E108*'Параметры'!$C$8/100</f>
        <v>83.5</v>
      </c>
      <c r="G108" s="15">
        <f>ROUNDUP(F108/'Параметры'!$C$11,0)</f>
        <v>4</v>
      </c>
      <c r="H108" s="14">
        <f>'Параметры'!$C$12</f>
        <v>1</v>
      </c>
      <c r="I108" s="16">
        <f>G108-H108</f>
        <v>3</v>
      </c>
    </row>
    <row r="109">
      <c r="A109" s="9" t="inlineStr">
        <is>
          <t>БП-13</t>
        </is>
      </c>
      <c r="B109" s="21" t="inlineStr">
        <is>
          <t>№13</t>
        </is>
      </c>
      <c r="C109" s="21" t="inlineStr">
        <is>
          <t>7</t>
        </is>
      </c>
      <c r="D109" s="10" t="n">
        <v>1670</v>
      </c>
      <c r="E109" s="10">
        <f>D109*'Параметры'!$C$9*'Параметры'!$C$10</f>
        <v>835</v>
      </c>
      <c r="F109" s="23">
        <f>E109*'Параметры'!$C$8/100</f>
        <v>83.5</v>
      </c>
      <c r="G109" s="11">
        <f>ROUNDUP(F109/'Параметры'!$C$11,0)</f>
        <v>4</v>
      </c>
      <c r="H109" s="10">
        <f>'Параметры'!$C$12</f>
        <v>1</v>
      </c>
      <c r="I109" s="12">
        <f>G109-H109</f>
        <v>3</v>
      </c>
    </row>
    <row r="110">
      <c r="A110" s="13" t="inlineStr">
        <is>
          <t>БП-13</t>
        </is>
      </c>
      <c r="B110" s="24" t="inlineStr">
        <is>
          <t>№13</t>
        </is>
      </c>
      <c r="C110" s="24" t="inlineStr">
        <is>
          <t>8</t>
        </is>
      </c>
      <c r="D110" s="14" t="n">
        <v>1670</v>
      </c>
      <c r="E110" s="14">
        <f>D110*'Параметры'!$C$9*'Параметры'!$C$10</f>
        <v>835</v>
      </c>
      <c r="F110" s="25">
        <f>E110*'Параметры'!$C$8/100</f>
        <v>83.5</v>
      </c>
      <c r="G110" s="15">
        <f>ROUNDUP(F110/'Параметры'!$C$11,0)</f>
        <v>4</v>
      </c>
      <c r="H110" s="14">
        <f>'Параметры'!$C$12</f>
        <v>1</v>
      </c>
      <c r="I110" s="16">
        <f>G110-H110</f>
        <v>3</v>
      </c>
    </row>
    <row r="111">
      <c r="A111" s="9" t="inlineStr">
        <is>
          <t>БП-13</t>
        </is>
      </c>
      <c r="B111" s="21" t="inlineStr">
        <is>
          <t>№13</t>
        </is>
      </c>
      <c r="C111" s="21" t="inlineStr">
        <is>
          <t>9</t>
        </is>
      </c>
      <c r="D111" s="10" t="n">
        <v>1670</v>
      </c>
      <c r="E111" s="10">
        <f>D111*'Параметры'!$C$9*'Параметры'!$C$10</f>
        <v>835</v>
      </c>
      <c r="F111" s="23">
        <f>E111*'Параметры'!$C$8/100</f>
        <v>83.5</v>
      </c>
      <c r="G111" s="11">
        <f>ROUNDUP(F111/'Параметры'!$C$11,0)</f>
        <v>4</v>
      </c>
      <c r="H111" s="10">
        <f>'Параметры'!$C$12</f>
        <v>1</v>
      </c>
      <c r="I111" s="12">
        <f>G111-H111</f>
        <v>3</v>
      </c>
    </row>
    <row r="112">
      <c r="A112" s="13" t="inlineStr">
        <is>
          <t>БП-13</t>
        </is>
      </c>
      <c r="B112" s="24" t="inlineStr">
        <is>
          <t>№13</t>
        </is>
      </c>
      <c r="C112" s="24" t="inlineStr">
        <is>
          <t>10</t>
        </is>
      </c>
      <c r="D112" s="14" t="n">
        <v>1670</v>
      </c>
      <c r="E112" s="14">
        <f>D112*'Параметры'!$C$9*'Параметры'!$C$10</f>
        <v>835</v>
      </c>
      <c r="F112" s="25">
        <f>E112*'Параметры'!$C$8/100</f>
        <v>83.5</v>
      </c>
      <c r="G112" s="15">
        <f>ROUNDUP(F112/'Параметры'!$C$11,0)</f>
        <v>4</v>
      </c>
      <c r="H112" s="14">
        <f>'Параметры'!$C$12</f>
        <v>1</v>
      </c>
      <c r="I112" s="16">
        <f>G112-H112</f>
        <v>3</v>
      </c>
    </row>
    <row r="113">
      <c r="A113" s="9" t="inlineStr">
        <is>
          <t>БП-13</t>
        </is>
      </c>
      <c r="B113" s="21" t="inlineStr">
        <is>
          <t>№13</t>
        </is>
      </c>
      <c r="C113" s="21" t="inlineStr">
        <is>
          <t>11</t>
        </is>
      </c>
      <c r="D113" s="10" t="n">
        <v>1670</v>
      </c>
      <c r="E113" s="10">
        <f>D113*'Параметры'!$C$9*'Параметры'!$C$10</f>
        <v>835</v>
      </c>
      <c r="F113" s="23">
        <f>E113*'Параметры'!$C$8/100</f>
        <v>83.5</v>
      </c>
      <c r="G113" s="11">
        <f>ROUNDUP(F113/'Параметры'!$C$11,0)</f>
        <v>4</v>
      </c>
      <c r="H113" s="10">
        <f>'Параметры'!$C$12</f>
        <v>1</v>
      </c>
      <c r="I113" s="12">
        <f>G113-H113</f>
        <v>3</v>
      </c>
    </row>
    <row r="114">
      <c r="A114" s="13" t="inlineStr">
        <is>
          <t>БП-13</t>
        </is>
      </c>
      <c r="B114" s="24" t="inlineStr">
        <is>
          <t>№13</t>
        </is>
      </c>
      <c r="C114" s="24" t="inlineStr">
        <is>
          <t>12</t>
        </is>
      </c>
      <c r="D114" s="14" t="n">
        <v>1670</v>
      </c>
      <c r="E114" s="14">
        <f>D114*'Параметры'!$C$9*'Параметры'!$C$10</f>
        <v>835</v>
      </c>
      <c r="F114" s="25">
        <f>E114*'Параметры'!$C$8/100</f>
        <v>83.5</v>
      </c>
      <c r="G114" s="15">
        <f>ROUNDUP(F114/'Параметры'!$C$11,0)</f>
        <v>4</v>
      </c>
      <c r="H114" s="14">
        <f>'Параметры'!$C$12</f>
        <v>1</v>
      </c>
      <c r="I114" s="16">
        <f>G114-H114</f>
        <v>3</v>
      </c>
    </row>
    <row r="115">
      <c r="A115" s="9" t="inlineStr">
        <is>
          <t>БП-14</t>
        </is>
      </c>
      <c r="B115" s="21" t="inlineStr">
        <is>
          <t>№14</t>
        </is>
      </c>
      <c r="C115" s="21" t="inlineStr">
        <is>
          <t>1</t>
        </is>
      </c>
      <c r="D115" s="10" t="n">
        <v>1670</v>
      </c>
      <c r="E115" s="10">
        <f>D115*'Параметры'!$C$9*'Параметры'!$C$10</f>
        <v>835</v>
      </c>
      <c r="F115" s="23">
        <f>E115*'Параметры'!$C$8/100</f>
        <v>83.5</v>
      </c>
      <c r="G115" s="11">
        <f>ROUNDUP(F115/'Параметры'!$C$11,0)</f>
        <v>4</v>
      </c>
      <c r="H115" s="10">
        <f>'Параметры'!$C$12</f>
        <v>1</v>
      </c>
      <c r="I115" s="12">
        <f>G115-H115</f>
        <v>3</v>
      </c>
    </row>
    <row r="116">
      <c r="A116" s="13" t="inlineStr">
        <is>
          <t>БП-14</t>
        </is>
      </c>
      <c r="B116" s="24" t="inlineStr">
        <is>
          <t>№14</t>
        </is>
      </c>
      <c r="C116" s="24" t="inlineStr">
        <is>
          <t>2</t>
        </is>
      </c>
      <c r="D116" s="14" t="n">
        <v>1670</v>
      </c>
      <c r="E116" s="14">
        <f>D116*'Параметры'!$C$9*'Параметры'!$C$10</f>
        <v>835</v>
      </c>
      <c r="F116" s="25">
        <f>E116*'Параметры'!$C$8/100</f>
        <v>83.5</v>
      </c>
      <c r="G116" s="15">
        <f>ROUNDUP(F116/'Параметры'!$C$11,0)</f>
        <v>4</v>
      </c>
      <c r="H116" s="14">
        <f>'Параметры'!$C$12</f>
        <v>1</v>
      </c>
      <c r="I116" s="16">
        <f>G116-H116</f>
        <v>3</v>
      </c>
    </row>
    <row r="117">
      <c r="A117" s="9" t="inlineStr">
        <is>
          <t>БП-14</t>
        </is>
      </c>
      <c r="B117" s="21" t="inlineStr">
        <is>
          <t>№14</t>
        </is>
      </c>
      <c r="C117" s="21" t="inlineStr">
        <is>
          <t>3</t>
        </is>
      </c>
      <c r="D117" s="10" t="n">
        <v>1670</v>
      </c>
      <c r="E117" s="10">
        <f>D117*'Параметры'!$C$9*'Параметры'!$C$10</f>
        <v>835</v>
      </c>
      <c r="F117" s="23">
        <f>E117*'Параметры'!$C$8/100</f>
        <v>83.5</v>
      </c>
      <c r="G117" s="11">
        <f>ROUNDUP(F117/'Параметры'!$C$11,0)</f>
        <v>4</v>
      </c>
      <c r="H117" s="10">
        <f>'Параметры'!$C$12</f>
        <v>1</v>
      </c>
      <c r="I117" s="12">
        <f>G117-H117</f>
        <v>3</v>
      </c>
    </row>
    <row r="118">
      <c r="A118" s="13" t="inlineStr">
        <is>
          <t>БП-14</t>
        </is>
      </c>
      <c r="B118" s="24" t="inlineStr">
        <is>
          <t>№14</t>
        </is>
      </c>
      <c r="C118" s="24" t="inlineStr">
        <is>
          <t>4</t>
        </is>
      </c>
      <c r="D118" s="14" t="n">
        <v>1670</v>
      </c>
      <c r="E118" s="14">
        <f>D118*'Параметры'!$C$9*'Параметры'!$C$10</f>
        <v>835</v>
      </c>
      <c r="F118" s="25">
        <f>E118*'Параметры'!$C$8/100</f>
        <v>83.5</v>
      </c>
      <c r="G118" s="15">
        <f>ROUNDUP(F118/'Параметры'!$C$11,0)</f>
        <v>4</v>
      </c>
      <c r="H118" s="14">
        <f>'Параметры'!$C$12</f>
        <v>1</v>
      </c>
      <c r="I118" s="16">
        <f>G118-H118</f>
        <v>3</v>
      </c>
    </row>
    <row r="119">
      <c r="A119" s="9" t="inlineStr">
        <is>
          <t>БП-14</t>
        </is>
      </c>
      <c r="B119" s="21" t="inlineStr">
        <is>
          <t>№14</t>
        </is>
      </c>
      <c r="C119" s="21" t="inlineStr">
        <is>
          <t>5</t>
        </is>
      </c>
      <c r="D119" s="10" t="n">
        <v>1670</v>
      </c>
      <c r="E119" s="10">
        <f>D119*'Параметры'!$C$9*'Параметры'!$C$10</f>
        <v>835</v>
      </c>
      <c r="F119" s="23">
        <f>E119*'Параметры'!$C$8/100</f>
        <v>83.5</v>
      </c>
      <c r="G119" s="11">
        <f>ROUNDUP(F119/'Параметры'!$C$11,0)</f>
        <v>4</v>
      </c>
      <c r="H119" s="10">
        <f>'Параметры'!$C$12</f>
        <v>1</v>
      </c>
      <c r="I119" s="12">
        <f>G119-H119</f>
        <v>3</v>
      </c>
    </row>
    <row r="120">
      <c r="A120" s="13" t="inlineStr">
        <is>
          <t>БП-14</t>
        </is>
      </c>
      <c r="B120" s="24" t="inlineStr">
        <is>
          <t>№14</t>
        </is>
      </c>
      <c r="C120" s="24" t="inlineStr">
        <is>
          <t>6</t>
        </is>
      </c>
      <c r="D120" s="14" t="n">
        <v>1670</v>
      </c>
      <c r="E120" s="14">
        <f>D120*'Параметры'!$C$9*'Параметры'!$C$10</f>
        <v>835</v>
      </c>
      <c r="F120" s="25">
        <f>E120*'Параметры'!$C$8/100</f>
        <v>83.5</v>
      </c>
      <c r="G120" s="15">
        <f>ROUNDUP(F120/'Параметры'!$C$11,0)</f>
        <v>4</v>
      </c>
      <c r="H120" s="14">
        <f>'Параметры'!$C$12</f>
        <v>1</v>
      </c>
      <c r="I120" s="16">
        <f>G120-H120</f>
        <v>3</v>
      </c>
    </row>
    <row r="121">
      <c r="A121" s="9" t="inlineStr">
        <is>
          <t>БП-14</t>
        </is>
      </c>
      <c r="B121" s="21" t="inlineStr">
        <is>
          <t>№14</t>
        </is>
      </c>
      <c r="C121" s="21" t="inlineStr">
        <is>
          <t>7</t>
        </is>
      </c>
      <c r="D121" s="10" t="n">
        <v>1670</v>
      </c>
      <c r="E121" s="10">
        <f>D121*'Параметры'!$C$9*'Параметры'!$C$10</f>
        <v>835</v>
      </c>
      <c r="F121" s="23">
        <f>E121*'Параметры'!$C$8/100</f>
        <v>83.5</v>
      </c>
      <c r="G121" s="11">
        <f>ROUNDUP(F121/'Параметры'!$C$11,0)</f>
        <v>4</v>
      </c>
      <c r="H121" s="10">
        <f>'Параметры'!$C$12</f>
        <v>1</v>
      </c>
      <c r="I121" s="12">
        <f>G121-H121</f>
        <v>3</v>
      </c>
    </row>
    <row r="122">
      <c r="A122" s="13" t="inlineStr">
        <is>
          <t>БП-14</t>
        </is>
      </c>
      <c r="B122" s="24" t="inlineStr">
        <is>
          <t>№14</t>
        </is>
      </c>
      <c r="C122" s="24" t="inlineStr">
        <is>
          <t>8</t>
        </is>
      </c>
      <c r="D122" s="14" t="n">
        <v>1670</v>
      </c>
      <c r="E122" s="14">
        <f>D122*'Параметры'!$C$9*'Параметры'!$C$10</f>
        <v>835</v>
      </c>
      <c r="F122" s="25">
        <f>E122*'Параметры'!$C$8/100</f>
        <v>83.5</v>
      </c>
      <c r="G122" s="15">
        <f>ROUNDUP(F122/'Параметры'!$C$11,0)</f>
        <v>4</v>
      </c>
      <c r="H122" s="14">
        <f>'Параметры'!$C$12</f>
        <v>1</v>
      </c>
      <c r="I122" s="16">
        <f>G122-H122</f>
        <v>3</v>
      </c>
    </row>
    <row r="123">
      <c r="A123" s="9" t="inlineStr">
        <is>
          <t>БП-14</t>
        </is>
      </c>
      <c r="B123" s="21" t="inlineStr">
        <is>
          <t>№14</t>
        </is>
      </c>
      <c r="C123" s="21" t="inlineStr">
        <is>
          <t>9</t>
        </is>
      </c>
      <c r="D123" s="10" t="n">
        <v>1670</v>
      </c>
      <c r="E123" s="10">
        <f>D123*'Параметры'!$C$9*'Параметры'!$C$10</f>
        <v>835</v>
      </c>
      <c r="F123" s="23">
        <f>E123*'Параметры'!$C$8/100</f>
        <v>83.5</v>
      </c>
      <c r="G123" s="11">
        <f>ROUNDUP(F123/'Параметры'!$C$11,0)</f>
        <v>4</v>
      </c>
      <c r="H123" s="10">
        <f>'Параметры'!$C$12</f>
        <v>1</v>
      </c>
      <c r="I123" s="12">
        <f>G123-H123</f>
        <v>3</v>
      </c>
    </row>
    <row r="124">
      <c r="A124" s="13" t="inlineStr">
        <is>
          <t>БП-14</t>
        </is>
      </c>
      <c r="B124" s="24" t="inlineStr">
        <is>
          <t>№14</t>
        </is>
      </c>
      <c r="C124" s="24" t="inlineStr">
        <is>
          <t>10</t>
        </is>
      </c>
      <c r="D124" s="14" t="n">
        <v>1670</v>
      </c>
      <c r="E124" s="14">
        <f>D124*'Параметры'!$C$9*'Параметры'!$C$10</f>
        <v>835</v>
      </c>
      <c r="F124" s="25">
        <f>E124*'Параметры'!$C$8/100</f>
        <v>83.5</v>
      </c>
      <c r="G124" s="15">
        <f>ROUNDUP(F124/'Параметры'!$C$11,0)</f>
        <v>4</v>
      </c>
      <c r="H124" s="14">
        <f>'Параметры'!$C$12</f>
        <v>1</v>
      </c>
      <c r="I124" s="16">
        <f>G124-H124</f>
        <v>3</v>
      </c>
    </row>
    <row r="125">
      <c r="A125" s="9" t="inlineStr">
        <is>
          <t>БП-14</t>
        </is>
      </c>
      <c r="B125" s="21" t="inlineStr">
        <is>
          <t>№14</t>
        </is>
      </c>
      <c r="C125" s="21" t="inlineStr">
        <is>
          <t>11</t>
        </is>
      </c>
      <c r="D125" s="10" t="n">
        <v>1670</v>
      </c>
      <c r="E125" s="10">
        <f>D125*'Параметры'!$C$9*'Параметры'!$C$10</f>
        <v>835</v>
      </c>
      <c r="F125" s="23">
        <f>E125*'Параметры'!$C$8/100</f>
        <v>83.5</v>
      </c>
      <c r="G125" s="11">
        <f>ROUNDUP(F125/'Параметры'!$C$11,0)</f>
        <v>4</v>
      </c>
      <c r="H125" s="10">
        <f>'Параметры'!$C$12</f>
        <v>1</v>
      </c>
      <c r="I125" s="12">
        <f>G125-H125</f>
        <v>3</v>
      </c>
    </row>
    <row r="126">
      <c r="A126" s="13" t="inlineStr">
        <is>
          <t>БП-14</t>
        </is>
      </c>
      <c r="B126" s="24" t="inlineStr">
        <is>
          <t>№14</t>
        </is>
      </c>
      <c r="C126" s="24" t="inlineStr">
        <is>
          <t>12</t>
        </is>
      </c>
      <c r="D126" s="14" t="n">
        <v>1670</v>
      </c>
      <c r="E126" s="14">
        <f>D126*'Параметры'!$C$9*'Параметры'!$C$10</f>
        <v>835</v>
      </c>
      <c r="F126" s="25">
        <f>E126*'Параметры'!$C$8/100</f>
        <v>83.5</v>
      </c>
      <c r="G126" s="15">
        <f>ROUNDUP(F126/'Параметры'!$C$11,0)</f>
        <v>4</v>
      </c>
      <c r="H126" s="14">
        <f>'Параметры'!$C$12</f>
        <v>1</v>
      </c>
      <c r="I126" s="16">
        <f>G126-H126</f>
        <v>3</v>
      </c>
    </row>
    <row r="127">
      <c r="A127" s="17" t="inlineStr">
        <is>
          <t>ИТОГО</t>
        </is>
      </c>
      <c r="B127" s="26" t="inlineStr"/>
      <c r="C127" s="18">
        <f>COUNTA(C5:C126)</f>
        <v>122</v>
      </c>
      <c r="D127" s="18">
        <f>SUM(D5:D126)</f>
        <v>177729.15999999997</v>
      </c>
      <c r="E127" s="18">
        <f>SUM(E5:E126)</f>
        <v>88864.57999999999</v>
      </c>
      <c r="F127" s="27">
        <f>SUM(F5:F126)</f>
        <v>8886.457999999995</v>
      </c>
      <c r="G127" s="18">
        <f>SUM(G5:G126)</f>
        <v>453</v>
      </c>
      <c r="H127" s="18">
        <f>SUM(H5:H126)</f>
        <v>122</v>
      </c>
      <c r="I127" s="19">
        <f>G127-H127</f>
        <v>331</v>
      </c>
    </row>
    <row r="129">
      <c r="A129" s="22" t="inlineStr">
        <is>
          <t>Площадь каждого корпуса взята из ведомости заказчика. Столбцы «Раствор», «Фоснитацид», «НУЖНО канистр» считаются формулами от листа «Параметры».</t>
        </is>
      </c>
    </row>
  </sheetData>
  <autoFilter ref="A4:I126"/>
  <mergeCells count="1">
    <mergeCell ref="A129:I1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66" customWidth="1" min="4" max="4"/>
  </cols>
  <sheetData>
    <row r="2">
      <c r="B2" s="1" t="inlineStr">
        <is>
          <t>ПАРАМЕТРЫ РАСЧЕТА</t>
        </is>
      </c>
    </row>
    <row r="3">
      <c r="B3" s="2" t="inlineStr">
        <is>
          <t>Меняйте только жёлтые ячейки — весь файл пересчитается сам.</t>
        </is>
      </c>
    </row>
    <row r="5" ht="24" customHeight="1">
      <c r="B5" s="8" t="inlineStr">
        <is>
          <t>Параметр</t>
        </is>
      </c>
      <c r="C5" s="8" t="inlineStr">
        <is>
          <t>Значение</t>
        </is>
      </c>
      <c r="D5" s="8" t="inlineStr">
        <is>
          <t>Пояснение</t>
        </is>
      </c>
    </row>
    <row r="6" ht="32" customHeight="1">
      <c r="B6" s="28" t="inlineStr">
        <is>
          <t>Дезсредство</t>
        </is>
      </c>
      <c r="C6" s="29" t="inlineStr">
        <is>
          <t>Фоснитацид</t>
        </is>
      </c>
      <c r="D6" s="30" t="inlineStr">
        <is>
          <t>Наименование по заданию.</t>
        </is>
      </c>
    </row>
    <row r="7" ht="32" customHeight="1">
      <c r="B7" s="28" t="inlineStr">
        <is>
          <t>Способ обработки</t>
        </is>
      </c>
      <c r="C7" s="29" t="inlineStr">
        <is>
          <t>Мойка (влажная дезинфекция)</t>
        </is>
      </c>
      <c r="D7" s="30" t="inlineStr">
        <is>
          <t>Подтверждено заказчиком.</t>
        </is>
      </c>
    </row>
    <row r="8" ht="32" customHeight="1">
      <c r="B8" s="28" t="inlineStr">
        <is>
          <t>Концентрация раствора, %</t>
        </is>
      </c>
      <c r="C8" s="31" t="n">
        <v>10</v>
      </c>
      <c r="D8" s="30" t="inlineStr">
        <is>
          <t>10-процентный рабочий раствор.</t>
        </is>
      </c>
    </row>
    <row r="9" ht="32" customHeight="1">
      <c r="B9" s="28" t="inlineStr">
        <is>
          <t>Норма расхода раствора, л/м²</t>
        </is>
      </c>
      <c r="C9" s="32" t="n">
        <v>0.5</v>
      </c>
      <c r="D9" s="30" t="inlineStr">
        <is>
          <t>Типовая норма мойки по гладким поверхностям. Для шероховатого бетона и кирпича — 1,0 л/м². См. лист «Сценарии».</t>
        </is>
      </c>
    </row>
    <row r="10" ht="32" customHeight="1">
      <c r="B10" s="28" t="inlineStr">
        <is>
          <t>Кратность обработки</t>
        </is>
      </c>
      <c r="C10" s="33" t="n">
        <v>1</v>
      </c>
      <c r="D10" s="30" t="inlineStr">
        <is>
          <t>1 = один раз за санразрыв.</t>
        </is>
      </c>
    </row>
    <row r="11" ht="32" customHeight="1">
      <c r="B11" s="28" t="inlineStr">
        <is>
          <t>Объём канистры, л</t>
        </is>
      </c>
      <c r="C11" s="31" t="n">
        <v>23</v>
      </c>
      <c r="D11" s="30" t="inlineStr">
        <is>
          <t>1 канистра = 23 л концентрата.</t>
        </is>
      </c>
    </row>
    <row r="12" ht="32" customHeight="1">
      <c r="B12" s="28" t="inlineStr">
        <is>
          <t>Выдаётся сейчас на корпус, канистр</t>
        </is>
      </c>
      <c r="C12" s="31" t="n">
        <v>1</v>
      </c>
      <c r="D12" s="30" t="inlineStr">
        <is>
          <t>Действующая практика — 1 канистра на любой корпус.</t>
        </is>
      </c>
    </row>
    <row r="15">
      <c r="B15" s="34" t="inlineStr">
        <is>
          <t>КАК СЧИТАЕТСЯ (пример: корпус 1 680 м²)</t>
        </is>
      </c>
    </row>
    <row r="16">
      <c r="B16" s="35" t="inlineStr">
        <is>
          <t>Шаг 1.  Раствор:      1 680 м²  ×  0,5 л/м²        =  840 л раствора</t>
        </is>
      </c>
    </row>
    <row r="17">
      <c r="B17" s="35" t="inlineStr">
        <is>
          <t>Шаг 2.  Фоснитацид:   840 л  ×  10 %                =  84 л  (+ 756 л воды)</t>
        </is>
      </c>
    </row>
    <row r="18">
      <c r="B18" s="35" t="inlineStr">
        <is>
          <t>Шаг 3.  Канистры:     84 л  ÷  23 л  =  3,65        →  4 канистры (округление вверх)</t>
        </is>
      </c>
    </row>
  </sheetData>
  <mergeCells count="3">
    <mergeCell ref="B17:D17"/>
    <mergeCell ref="B18:D18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6" customWidth="1" min="3" max="3"/>
    <col width="16" customWidth="1" min="4" max="4"/>
    <col width="15" customWidth="1" min="5" max="5"/>
    <col width="16" customWidth="1" min="6" max="6"/>
    <col width="50" customWidth="1" min="7" max="7"/>
  </cols>
  <sheetData>
    <row r="2">
      <c r="B2" s="1" t="inlineStr">
        <is>
          <t>СЦЕНАРИИ НОРМ РАСХОДА</t>
        </is>
      </c>
    </row>
    <row r="3">
      <c r="B3" s="2" t="inlineStr">
        <is>
          <t>Способ обработки — мойка. Рабочий диапазон норм 0,3–1,0 л/м².</t>
        </is>
      </c>
    </row>
    <row r="5" ht="40" customHeight="1">
      <c r="B5" s="8" t="inlineStr">
        <is>
          <t>Норма, л/м²</t>
        </is>
      </c>
      <c r="C5" s="8" t="inlineStr">
        <is>
          <t>Раствор всего, л</t>
        </is>
      </c>
      <c r="D5" s="8" t="inlineStr">
        <is>
          <t>Фоснитацид всего, л</t>
        </is>
      </c>
      <c r="E5" s="8" t="inlineStr">
        <is>
          <t>НУЖНО канистр</t>
        </is>
      </c>
      <c r="F5" s="8" t="inlineStr">
        <is>
          <t>Сейчас, канистр</t>
        </is>
      </c>
      <c r="G5" s="8" t="inlineStr">
        <is>
          <t>Комментарий</t>
        </is>
      </c>
    </row>
    <row r="6" ht="22" customHeight="1">
      <c r="B6" s="36" t="n">
        <v>0.15</v>
      </c>
      <c r="C6" s="10">
        <f>'По корпусам'!$D$127*B6*'Параметры'!$C$10</f>
        <v>26659.373999999996</v>
      </c>
      <c r="D6" s="10">
        <f>C6*'Параметры'!$C$8/100</f>
        <v>2665.9374</v>
      </c>
      <c r="E6" s="10">
        <f>SUMPRODUCT(ROUNDUP('По корпусам'!$D$5:$D$126*$B6*'Параметры'!$C$10*'Параметры'!$C$8/100/'Параметры'!$C$11,0))</f>
        <v>177</v>
      </c>
      <c r="F6" s="10">
        <f>'По корпусам'!$C$127*'Параметры'!$C$12</f>
        <v>122</v>
      </c>
      <c r="G6" s="20" t="inlineStr">
        <is>
          <t>Соответствует текущей выдаче 1 канистры. Аэрозольный режим — НЕ ваш случай</t>
        </is>
      </c>
    </row>
    <row r="7" ht="22" customHeight="1">
      <c r="B7" s="36" t="n">
        <v>0.3</v>
      </c>
      <c r="C7" s="10">
        <f>'По корпусам'!$D$127*B7*'Параметры'!$C$10</f>
        <v>53318.74799999999</v>
      </c>
      <c r="D7" s="10">
        <f>C7*'Параметры'!$C$8/100</f>
        <v>5331.8748</v>
      </c>
      <c r="E7" s="10">
        <f>SUMPRODUCT(ROUNDUP('По корпусам'!$D$5:$D$126*$B7*'Параметры'!$C$10*'Параметры'!$C$8/100/'Параметры'!$C$11,0))</f>
        <v>299</v>
      </c>
      <c r="F7" s="10">
        <f>'По корпусам'!$C$127*'Параметры'!$C$12</f>
        <v>122</v>
      </c>
      <c r="G7" s="20" t="inlineStr">
        <is>
          <t>Мойка, минимальный режим</t>
        </is>
      </c>
    </row>
    <row r="8" ht="22" customHeight="1">
      <c r="B8" s="37" t="n">
        <v>0.5</v>
      </c>
      <c r="C8" s="38">
        <f>'По корпусам'!$D$127*B8*'Параметры'!$C$10</f>
        <v>88864.57999999999</v>
      </c>
      <c r="D8" s="38">
        <f>C8*'Параметры'!$C$8/100</f>
        <v>8886.457999999999</v>
      </c>
      <c r="E8" s="38">
        <f>SUMPRODUCT(ROUNDUP('По корпусам'!$D$5:$D$126*$B8*'Параметры'!$C$10*'Параметры'!$C$8/100/'Параметры'!$C$11,0))</f>
        <v>453</v>
      </c>
      <c r="F8" s="38">
        <f>'По корпусам'!$C$127*'Параметры'!$C$12</f>
        <v>122</v>
      </c>
      <c r="G8" s="39" t="inlineStr">
        <is>
          <t>МОЙКА, гладкие поверхности — ПРИНЯТО В РАСЧЁТЕ</t>
        </is>
      </c>
    </row>
    <row r="9" ht="22" customHeight="1">
      <c r="B9" s="36" t="n">
        <v>0.75</v>
      </c>
      <c r="C9" s="10">
        <f>'По корпусам'!$D$127*B9*'Параметры'!$C$10</f>
        <v>133296.87</v>
      </c>
      <c r="D9" s="10">
        <f>C9*'Параметры'!$C$8/100</f>
        <v>13329.687</v>
      </c>
      <c r="E9" s="10">
        <f>SUMPRODUCT(ROUNDUP('По корпусам'!$D$5:$D$126*$B9*'Параметры'!$C$10*'Параметры'!$C$8/100/'Параметры'!$C$11,0))</f>
        <v>630</v>
      </c>
      <c r="F9" s="10">
        <f>'По корпусам'!$C$127*'Параметры'!$C$12</f>
        <v>122</v>
      </c>
      <c r="G9" s="20" t="inlineStr">
        <is>
          <t>Мойка, промежуточный режим</t>
        </is>
      </c>
    </row>
    <row r="10" ht="22" customHeight="1">
      <c r="B10" s="36" t="n">
        <v>1</v>
      </c>
      <c r="C10" s="10">
        <f>'По корпусам'!$D$127*B10*'Параметры'!$C$10</f>
        <v>177729.15999999997</v>
      </c>
      <c r="D10" s="10">
        <f>C10*'Параметры'!$C$8/100</f>
        <v>17772.915999999997</v>
      </c>
      <c r="E10" s="10">
        <f>SUMPRODUCT(ROUNDUP('По корпусам'!$D$5:$D$126*$B10*'Параметры'!$C$10*'Параметры'!$C$8/100/'Параметры'!$C$11,0))</f>
        <v>836</v>
      </c>
      <c r="F10" s="10">
        <f>'По корпусам'!$C$127*'Параметры'!$C$12</f>
        <v>122</v>
      </c>
      <c r="G10" s="20" t="inlineStr">
        <is>
          <t>Мойка шероховатых поверхностей (бетон, кирпич)</t>
        </is>
      </c>
    </row>
    <row r="12">
      <c r="B12" s="22" t="inlineStr">
        <is>
          <t>Текущая выдача 23 л на корпус соответствует норме всего 0,158 л/м² — это втрое ниже минимального режима мойки. Если поверхности шероховатые (бетон, кирпич), норма по инструкции может быть 1,0 л/м².</t>
        </is>
      </c>
    </row>
    <row r="13"/>
    <row r="14"/>
  </sheetData>
  <mergeCells count="1">
    <mergeCell ref="B12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2026-09-14T10:06:00Z</dcterms:created>
  <dcterms:modified xsi:type="dcterms:W3CDTF">2026-09-14T10:06:00Z</dcterms:modified>
</cp:coreProperties>
</file>