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ТОГ" sheetId="1" state="visible" r:id="rId1"/>
    <sheet name="Г" sheetId="2" state="visible" r:id="rId2"/>
    <sheet name="Д" sheetId="3" state="visible" r:id="rId3"/>
    <sheet name="Б" sheetId="4" state="visible" r:id="rId4"/>
    <sheet name="Е" sheetId="5" state="visible" r:id="rId5"/>
    <sheet name="А" sheetId="6" state="visible" r:id="rId6"/>
    <sheet name="Ж" sheetId="7" state="visible" r:id="rId7"/>
    <sheet name="В" sheetId="8" state="visible" r:id="rId8"/>
    <sheet name="БП-12" sheetId="9" state="visible" r:id="rId9"/>
    <sheet name="БП-13" sheetId="10" state="visible" r:id="rId10"/>
    <sheet name="БП-14" sheetId="11" state="visible" r:id="rId11"/>
    <sheet name="Параметры" sheetId="12" state="visible" r:id="rId12"/>
    <sheet name="Сценарии" sheetId="13" state="visible" r:id="rId13"/>
  </sheets>
  <definedNames>
    <definedName name="_xlnm.Print_Titles" localSheetId="1">'Г'!$4:$4</definedName>
    <definedName name="_xlnm.Print_Area" localSheetId="1">'Г'!$A$1:$J$31</definedName>
    <definedName name="_xlnm.Print_Titles" localSheetId="2">'Д'!$4:$4</definedName>
    <definedName name="_xlnm.Print_Area" localSheetId="2">'Д'!$A$1:$J$27</definedName>
    <definedName name="_xlnm.Print_Titles" localSheetId="3">'Б'!$4:$4</definedName>
    <definedName name="_xlnm.Print_Area" localSheetId="3">'Б'!$A$1:$J$19</definedName>
    <definedName name="_xlnm.Print_Titles" localSheetId="4">'Е'!$4:$4</definedName>
    <definedName name="_xlnm.Print_Area" localSheetId="4">'Е'!$A$1:$J$19</definedName>
    <definedName name="_xlnm.Print_Titles" localSheetId="5">'А'!$4:$4</definedName>
    <definedName name="_xlnm.Print_Area" localSheetId="5">'А'!$A$1:$J$19</definedName>
    <definedName name="_xlnm.Print_Titles" localSheetId="6">'Ж'!$4:$4</definedName>
    <definedName name="_xlnm.Print_Area" localSheetId="6">'Ж'!$A$1:$J$14</definedName>
    <definedName name="_xlnm.Print_Titles" localSheetId="7">'В'!$4:$4</definedName>
    <definedName name="_xlnm.Print_Area" localSheetId="7">'В'!$A$1:$J$24</definedName>
    <definedName name="_xlnm.Print_Titles" localSheetId="8">'БП-12'!$4:$4</definedName>
    <definedName name="_xlnm.Print_Area" localSheetId="8">'БП-12'!$A$1:$J$21</definedName>
    <definedName name="_xlnm.Print_Titles" localSheetId="9">'БП-13'!$4:$4</definedName>
    <definedName name="_xlnm.Print_Area" localSheetId="9">'БП-13'!$A$1:$J$21</definedName>
    <definedName name="_xlnm.Print_Titles" localSheetId="10">'БП-14'!$4:$4</definedName>
    <definedName name="_xlnm.Print_Area" localSheetId="10">'БП-14'!$A$1:$J$21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&quot; %&quot;"/>
  </numFmts>
  <fonts count="13">
    <font>
      <name val="Calibri"/>
      <family val="2"/>
      <color theme="1"/>
      <sz val="11"/>
      <scheme val="minor"/>
    </font>
    <font>
      <name val="Arial"/>
      <b val="1"/>
      <color rgb="001F6F54"/>
      <sz val="14"/>
    </font>
    <font>
      <name val="Arial"/>
      <color rgb="00666666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b val="1"/>
      <color rgb="000000FF"/>
      <sz val="12"/>
    </font>
    <font>
      <name val="Arial"/>
      <b val="1"/>
      <color rgb="001F6F54"/>
      <sz val="12"/>
    </font>
    <font>
      <name val="Consolas"/>
      <sz val="10"/>
    </font>
    <font>
      <name val="Arial"/>
      <sz val="10"/>
    </font>
    <font>
      <name val="Arial"/>
      <b val="1"/>
      <color rgb="00666666"/>
      <sz val="9"/>
    </font>
    <font>
      <name val="Arial"/>
      <b val="1"/>
      <color rgb="001F6F54"/>
      <sz val="18"/>
    </font>
    <font>
      <name val="Arial"/>
      <b val="1"/>
      <color rgb="00C00000"/>
      <sz val="18"/>
    </font>
    <font>
      <name val="Arial"/>
      <color rgb="001F6F54"/>
      <sz val="9"/>
    </font>
  </fonts>
  <fills count="8">
    <fill>
      <patternFill/>
    </fill>
    <fill>
      <patternFill patternType="gray125"/>
    </fill>
    <fill>
      <patternFill patternType="solid">
        <fgColor rgb="001F6F54"/>
      </patternFill>
    </fill>
    <fill>
      <patternFill patternType="solid">
        <fgColor rgb="00E8F1ED"/>
      </patternFill>
    </fill>
    <fill>
      <patternFill patternType="solid">
        <fgColor rgb="00FFF2A8"/>
      </patternFill>
    </fill>
    <fill>
      <patternFill patternType="solid">
        <fgColor rgb="00D6E6DF"/>
      </patternFill>
    </fill>
    <fill>
      <patternFill patternType="solid">
        <fgColor rgb="00F7FAF9"/>
      </patternFill>
    </fill>
    <fill>
      <patternFill patternType="solid">
        <fgColor rgb="00FBF9F3"/>
      </patternFill>
    </fill>
  </fills>
  <borders count="7">
    <border>
      <left/>
      <right/>
      <top/>
      <bottom/>
      <diagonal/>
    </border>
    <border>
      <left style="thin">
        <color rgb="009FB8AE"/>
      </left>
      <right style="thin">
        <color rgb="009FB8AE"/>
      </right>
      <top style="thin">
        <color rgb="009FB8AE"/>
      </top>
      <bottom style="thin">
        <color rgb="009FB8AE"/>
      </bottom>
    </border>
    <border>
      <left/>
      <right/>
      <top style="thin">
        <color rgb="009FB8AE"/>
      </top>
      <bottom/>
      <diagonal/>
    </border>
    <border>
      <left/>
      <right style="thin">
        <color rgb="009FB8AE"/>
      </right>
      <top style="thin">
        <color rgb="009FB8AE"/>
      </top>
      <bottom/>
      <diagonal/>
    </border>
    <border>
      <left/>
      <right/>
      <top style="thin">
        <color rgb="009FB8AE"/>
      </top>
      <bottom style="thin">
        <color rgb="009FB8AE"/>
      </bottom>
      <diagonal/>
    </border>
    <border>
      <left/>
      <right style="thin">
        <color rgb="009FB8AE"/>
      </right>
      <top style="thin">
        <color rgb="009FB8AE"/>
      </top>
      <bottom style="thin">
        <color rgb="009FB8AE"/>
      </bottom>
      <diagonal/>
    </border>
    <border>
      <left style="thin">
        <color rgb="009FB8AE"/>
      </left>
      <right style="thin">
        <color rgb="009FB8AE"/>
      </right>
      <top style="medium">
        <color rgb="001F6F54"/>
      </top>
      <bottom style="medium">
        <color rgb="001F6F54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10" fillId="7" borderId="1" applyAlignment="1" pivotButton="0" quotePrefix="0" xfId="0">
      <alignment horizontal="center" vertical="center" wrapText="1"/>
    </xf>
    <xf numFmtId="3" fontId="11" fillId="7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3" fontId="4" fillId="3" borderId="6" applyAlignment="1" pivotButton="0" quotePrefix="0" xfId="0">
      <alignment horizontal="center" vertical="center" wrapText="1"/>
    </xf>
    <xf numFmtId="164" fontId="4" fillId="3" borderId="6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0" fillId="0" borderId="4" pivotButton="0" quotePrefix="0" xfId="0"/>
    <xf numFmtId="4" fontId="8" fillId="0" borderId="1" applyAlignment="1" pivotButton="0" quotePrefix="0" xfId="0">
      <alignment horizontal="center" vertical="center" wrapText="1"/>
    </xf>
    <xf numFmtId="4" fontId="8" fillId="6" borderId="1" applyAlignment="1" pivotButton="0" quotePrefix="0" xfId="0">
      <alignment horizontal="center" vertical="center" wrapText="1"/>
    </xf>
    <xf numFmtId="4" fontId="4" fillId="3" borderId="6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2" fontId="8" fillId="0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4" customWidth="1" min="7" max="7"/>
    <col width="13" customWidth="1" min="8" max="8"/>
    <col width="14" customWidth="1" min="9" max="9"/>
  </cols>
  <sheetData>
    <row r="2">
      <c r="B2" s="1" t="inlineStr">
        <is>
          <t>ФОСНИТАЦИД — ПОТРЕБНОСТЬ ПО ПЛОЩАДКАМ</t>
        </is>
      </c>
    </row>
    <row r="3">
      <c r="B3" s="2" t="inlineStr">
        <is>
          <t>Мойка (влажная дезинфекция) · норма 0,5 л/м² · раствор 10 % · канистра 23 л · 1 раз согласно графику санразрыва</t>
        </is>
      </c>
    </row>
    <row r="5">
      <c r="B5" s="3" t="inlineStr">
        <is>
          <t>Всего птичников</t>
        </is>
      </c>
      <c r="C5" s="4" t="n"/>
      <c r="D5" s="3" t="inlineStr">
        <is>
          <t>Общая площадь, м²</t>
        </is>
      </c>
      <c r="E5" s="4" t="n"/>
      <c r="F5" s="3" t="inlineStr">
        <is>
          <t>Требуется Фоснитацида, л</t>
        </is>
      </c>
      <c r="G5" s="4" t="n"/>
    </row>
    <row r="6" ht="28" customHeight="1">
      <c r="B6" s="5">
        <f>'Г'!D27+'Д'!D23+'Б'!D15+'Е'!D15+'А'!D15+'Ж'!D10+'В'!D20+'БП-12'!D17+'БП-13'!D17+'БП-14'!D17</f>
        <v>122</v>
      </c>
      <c r="C6" s="4" t="n"/>
      <c r="D6" s="5">
        <f>'Г'!F27+'Д'!F23+'Б'!F15+'Е'!F15+'А'!F15+'Ж'!F10+'В'!F20+'БП-12'!F17+'БП-13'!F17+'БП-14'!F17</f>
        <v>177729.15999999997</v>
      </c>
      <c r="E6" s="4" t="n"/>
      <c r="F6" s="5">
        <f>'Г'!I27+'Д'!I23+'Б'!I15+'Е'!I15+'А'!I15+'Ж'!I10+'В'!I20+'БП-12'!I17+'БП-13'!I17+'БП-14'!I17</f>
        <v>8886.457999999999</v>
      </c>
      <c r="G6" s="4" t="n"/>
    </row>
    <row r="8">
      <c r="B8" s="3" t="inlineStr">
        <is>
          <t>Требуется канистр</t>
        </is>
      </c>
      <c r="C8" s="4" t="n"/>
      <c r="D8" s="3" t="inlineStr">
        <is>
          <t>Выдаётся сейчас, канистр</t>
        </is>
      </c>
      <c r="E8" s="4" t="n"/>
      <c r="F8" s="3" t="inlineStr">
        <is>
          <t>Не хватает, канистр</t>
        </is>
      </c>
      <c r="G8" s="4" t="n"/>
    </row>
    <row r="9" ht="28" customHeight="1">
      <c r="B9" s="5">
        <f>'Г'!J27+'Д'!J23+'Б'!J15+'Е'!J15+'А'!J15+'Ж'!J10+'В'!J20+'БП-12'!J17+'БП-13'!J17+'БП-14'!J17</f>
        <v>453</v>
      </c>
      <c r="C9" s="4" t="n"/>
      <c r="D9" s="5">
        <f>122*'Параметры'!$C$12</f>
        <v>122</v>
      </c>
      <c r="E9" s="4" t="n"/>
      <c r="F9" s="6">
        <f>B9-D9</f>
        <v>331</v>
      </c>
      <c r="G9" s="4" t="n"/>
    </row>
    <row r="11">
      <c r="B11" s="7" t="inlineStr">
        <is>
          <t>ПО КАЖДОЙ ПЛОЩАДКЕ</t>
        </is>
      </c>
    </row>
    <row r="12" ht="40" customHeight="1">
      <c r="B12" s="8" t="inlineStr">
        <is>
          <t>Площадка</t>
        </is>
      </c>
      <c r="C12" s="8" t="inlineStr">
        <is>
          <t>Птични­ков</t>
        </is>
      </c>
      <c r="D12" s="8" t="inlineStr">
        <is>
          <t>Объём, м³</t>
        </is>
      </c>
      <c r="E12" s="8" t="inlineStr">
        <is>
          <t>Площадь, м²</t>
        </is>
      </c>
      <c r="F12" s="8" t="inlineStr">
        <is>
          <t>Дезсредство</t>
        </is>
      </c>
      <c r="G12" s="8" t="inlineStr">
        <is>
          <t>Концен­трация</t>
        </is>
      </c>
      <c r="H12" s="8" t="inlineStr">
        <is>
          <t>ТРЕБУЕТСЯ, литров</t>
        </is>
      </c>
      <c r="I12" s="8" t="inlineStr">
        <is>
          <t>Канистр, шт</t>
        </is>
      </c>
      <c r="J12" s="8" t="inlineStr">
        <is>
          <t>Лист для печати</t>
        </is>
      </c>
    </row>
    <row r="13">
      <c r="B13" s="9" t="inlineStr">
        <is>
          <t>Г</t>
        </is>
      </c>
      <c r="C13" s="10">
        <f>'Г'!D27</f>
        <v>20</v>
      </c>
      <c r="D13" s="10">
        <f>'Г'!E27</f>
        <v>89805</v>
      </c>
      <c r="E13" s="11">
        <f>'Г'!F27</f>
        <v>29891.959999999995</v>
      </c>
      <c r="F13" s="12" t="inlineStr">
        <is>
          <t>Фоснитацид</t>
        </is>
      </c>
      <c r="G13" s="13">
        <f>'Параметры'!$C$8</f>
        <v>10</v>
      </c>
      <c r="H13" s="14">
        <f>'Г'!I27</f>
        <v>1494.5979999999997</v>
      </c>
      <c r="I13" s="15">
        <f>'Г'!J27</f>
        <v>80</v>
      </c>
      <c r="J13" s="16" t="inlineStr">
        <is>
          <t>лист «Г»</t>
        </is>
      </c>
    </row>
    <row r="14">
      <c r="B14" s="17" t="inlineStr">
        <is>
          <t>Д</t>
        </is>
      </c>
      <c r="C14" s="18">
        <f>'Д'!D23</f>
        <v>16</v>
      </c>
      <c r="D14" s="18">
        <f>'Д'!E23</f>
        <v>73350</v>
      </c>
      <c r="E14" s="19">
        <f>'Д'!F23</f>
        <v>24458.300000000003</v>
      </c>
      <c r="F14" s="20" t="inlineStr">
        <is>
          <t>Фоснитацид</t>
        </is>
      </c>
      <c r="G14" s="21">
        <f>'Параметры'!$C$8</f>
        <v>10</v>
      </c>
      <c r="H14" s="22">
        <f>'Д'!I23</f>
        <v>1222.915</v>
      </c>
      <c r="I14" s="23">
        <f>'Д'!J23</f>
        <v>64</v>
      </c>
      <c r="J14" s="24" t="inlineStr">
        <is>
          <t>лист «Д»</t>
        </is>
      </c>
    </row>
    <row r="15">
      <c r="B15" s="9" t="inlineStr">
        <is>
          <t>Б</t>
        </is>
      </c>
      <c r="C15" s="10">
        <f>'Б'!D15</f>
        <v>10</v>
      </c>
      <c r="D15" s="10">
        <f>'Б'!E15</f>
        <v>33696</v>
      </c>
      <c r="E15" s="11">
        <f>'Б'!F15</f>
        <v>11217.9</v>
      </c>
      <c r="F15" s="12" t="inlineStr">
        <is>
          <t>Фоснитацид</t>
        </is>
      </c>
      <c r="G15" s="13">
        <f>'Параметры'!$C$8</f>
        <v>10</v>
      </c>
      <c r="H15" s="14">
        <f>'Б'!I15</f>
        <v>560.895</v>
      </c>
      <c r="I15" s="15">
        <f>'Б'!J15</f>
        <v>30</v>
      </c>
      <c r="J15" s="16" t="inlineStr">
        <is>
          <t>лист «Б»</t>
        </is>
      </c>
    </row>
    <row r="16">
      <c r="B16" s="17" t="inlineStr">
        <is>
          <t>Е</t>
        </is>
      </c>
      <c r="C16" s="18">
        <f>'Е'!D15</f>
        <v>10</v>
      </c>
      <c r="D16" s="18">
        <f>'Е'!E15</f>
        <v>32832</v>
      </c>
      <c r="E16" s="19">
        <f>'Е'!F15</f>
        <v>10928.3</v>
      </c>
      <c r="F16" s="20" t="inlineStr">
        <is>
          <t>Фоснитацид</t>
        </is>
      </c>
      <c r="G16" s="21">
        <f>'Параметры'!$C$8</f>
        <v>10</v>
      </c>
      <c r="H16" s="22">
        <f>'Е'!I15</f>
        <v>546.4150000000001</v>
      </c>
      <c r="I16" s="23">
        <f>'Е'!J15</f>
        <v>30</v>
      </c>
      <c r="J16" s="24" t="inlineStr">
        <is>
          <t>лист «Е»</t>
        </is>
      </c>
    </row>
    <row r="17">
      <c r="B17" s="9" t="inlineStr">
        <is>
          <t>А</t>
        </is>
      </c>
      <c r="C17" s="10">
        <f>'А'!D15</f>
        <v>10</v>
      </c>
      <c r="D17" s="10">
        <f>'А'!E15</f>
        <v>32832</v>
      </c>
      <c r="E17" s="11">
        <f>'А'!F15</f>
        <v>10867.800000000001</v>
      </c>
      <c r="F17" s="12" t="inlineStr">
        <is>
          <t>Фоснитацид</t>
        </is>
      </c>
      <c r="G17" s="13">
        <f>'Параметры'!$C$8</f>
        <v>10</v>
      </c>
      <c r="H17" s="14">
        <f>'А'!I15</f>
        <v>543.3899999999999</v>
      </c>
      <c r="I17" s="15">
        <f>'А'!J15</f>
        <v>30</v>
      </c>
      <c r="J17" s="16" t="inlineStr">
        <is>
          <t>лист «А»</t>
        </is>
      </c>
    </row>
    <row r="18">
      <c r="B18" s="17" t="inlineStr">
        <is>
          <t>Ж</t>
        </is>
      </c>
      <c r="C18" s="18">
        <f>'Ж'!D10</f>
        <v>5</v>
      </c>
      <c r="D18" s="18">
        <f>'Ж'!E10</f>
        <v>17280</v>
      </c>
      <c r="E18" s="19">
        <f>'Ж'!F10</f>
        <v>5614.9</v>
      </c>
      <c r="F18" s="20" t="inlineStr">
        <is>
          <t>Фоснитацид</t>
        </is>
      </c>
      <c r="G18" s="21">
        <f>'Параметры'!$C$8</f>
        <v>10</v>
      </c>
      <c r="H18" s="22">
        <f>'Ж'!I10</f>
        <v>280.745</v>
      </c>
      <c r="I18" s="23">
        <f>'Ж'!J10</f>
        <v>15</v>
      </c>
      <c r="J18" s="24" t="inlineStr">
        <is>
          <t>лист «Ж»</t>
        </is>
      </c>
    </row>
    <row r="19">
      <c r="B19" s="9" t="inlineStr">
        <is>
          <t>В</t>
        </is>
      </c>
      <c r="C19" s="10">
        <f>'В'!D20</f>
        <v>15</v>
      </c>
      <c r="D19" s="10">
        <f>'В'!E20</f>
        <v>105624</v>
      </c>
      <c r="E19" s="11">
        <f>'В'!F20</f>
        <v>24630</v>
      </c>
      <c r="F19" s="12" t="inlineStr">
        <is>
          <t>Фоснитацид</t>
        </is>
      </c>
      <c r="G19" s="13">
        <f>'Параметры'!$C$8</f>
        <v>10</v>
      </c>
      <c r="H19" s="14">
        <f>'В'!I20</f>
        <v>1231.5</v>
      </c>
      <c r="I19" s="15">
        <f>'В'!J20</f>
        <v>60</v>
      </c>
      <c r="J19" s="16" t="inlineStr">
        <is>
          <t>лист «В»</t>
        </is>
      </c>
    </row>
    <row r="20">
      <c r="B20" s="17" t="inlineStr">
        <is>
          <t>БП-12</t>
        </is>
      </c>
      <c r="C20" s="18">
        <f>'БП-12'!D17</f>
        <v>12</v>
      </c>
      <c r="D20" s="18">
        <f>'БП-12'!E17</f>
        <v>90720</v>
      </c>
      <c r="E20" s="19">
        <f>'БП-12'!F17</f>
        <v>20040</v>
      </c>
      <c r="F20" s="20" t="inlineStr">
        <is>
          <t>Фоснитацид</t>
        </is>
      </c>
      <c r="G20" s="21">
        <f>'Параметры'!$C$8</f>
        <v>10</v>
      </c>
      <c r="H20" s="22">
        <f>'БП-12'!I17</f>
        <v>1002</v>
      </c>
      <c r="I20" s="23">
        <f>'БП-12'!J17</f>
        <v>48</v>
      </c>
      <c r="J20" s="24" t="inlineStr">
        <is>
          <t>лист «БП-12»</t>
        </is>
      </c>
    </row>
    <row r="21">
      <c r="B21" s="9" t="inlineStr">
        <is>
          <t>БП-13</t>
        </is>
      </c>
      <c r="C21" s="10">
        <f>'БП-13'!D17</f>
        <v>12</v>
      </c>
      <c r="D21" s="10">
        <f>'БП-13'!E17</f>
        <v>90720</v>
      </c>
      <c r="E21" s="11">
        <f>'БП-13'!F17</f>
        <v>20040</v>
      </c>
      <c r="F21" s="12" t="inlineStr">
        <is>
          <t>Фоснитацид</t>
        </is>
      </c>
      <c r="G21" s="13">
        <f>'Параметры'!$C$8</f>
        <v>10</v>
      </c>
      <c r="H21" s="14">
        <f>'БП-13'!I17</f>
        <v>1002</v>
      </c>
      <c r="I21" s="15">
        <f>'БП-13'!J17</f>
        <v>48</v>
      </c>
      <c r="J21" s="16" t="inlineStr">
        <is>
          <t>лист «БП-13»</t>
        </is>
      </c>
    </row>
    <row r="22">
      <c r="B22" s="17" t="inlineStr">
        <is>
          <t>БП-14</t>
        </is>
      </c>
      <c r="C22" s="18">
        <f>'БП-14'!D17</f>
        <v>12</v>
      </c>
      <c r="D22" s="18">
        <f>'БП-14'!E17</f>
        <v>90720</v>
      </c>
      <c r="E22" s="19">
        <f>'БП-14'!F17</f>
        <v>20040</v>
      </c>
      <c r="F22" s="20" t="inlineStr">
        <is>
          <t>Фоснитацид</t>
        </is>
      </c>
      <c r="G22" s="21">
        <f>'Параметры'!$C$8</f>
        <v>10</v>
      </c>
      <c r="H22" s="22">
        <f>'БП-14'!I17</f>
        <v>1002</v>
      </c>
      <c r="I22" s="23">
        <f>'БП-14'!J17</f>
        <v>48</v>
      </c>
      <c r="J22" s="24" t="inlineStr">
        <is>
          <t>лист «БП-14»</t>
        </is>
      </c>
    </row>
    <row r="23">
      <c r="B23" s="25" t="inlineStr">
        <is>
          <t>ИТОГО</t>
        </is>
      </c>
      <c r="C23" s="26">
        <f>SUM(C13:C22)</f>
        <v>122</v>
      </c>
      <c r="D23" s="26">
        <f>SUM(D13:D22)</f>
        <v>657579</v>
      </c>
      <c r="E23" s="27">
        <f>SUM(E13:E22)</f>
        <v>177729.15999999997</v>
      </c>
      <c r="F23" s="28" t="inlineStr"/>
      <c r="G23" s="28" t="inlineStr"/>
      <c r="H23" s="27">
        <f>SUM(H13:H22)</f>
        <v>8886.457999999999</v>
      </c>
      <c r="I23" s="26">
        <f>SUM(I13:I22)</f>
        <v>453</v>
      </c>
      <c r="J23" s="28" t="inlineStr"/>
    </row>
    <row r="25">
      <c r="B25" s="7" t="inlineStr">
        <is>
          <t>СКОЛЬКО УХОДИТ НА ОДИН ПТИЧНИК</t>
        </is>
      </c>
    </row>
    <row r="26" ht="30" customHeight="1">
      <c r="B26" s="8" t="inlineStr">
        <is>
          <t>Площадки</t>
        </is>
      </c>
      <c r="C26" s="8" t="inlineStr">
        <is>
          <t>Площадь птичника, м²</t>
        </is>
      </c>
      <c r="D26" s="8" t="inlineStr">
        <is>
          <t>Требуется литров</t>
        </is>
      </c>
      <c r="E26" s="8" t="inlineStr">
        <is>
          <t>Канистр</t>
        </is>
      </c>
    </row>
    <row r="27">
      <c r="B27" s="29" t="inlineStr">
        <is>
          <t>Г, Д, В, БП-12, БП-13, БП-14</t>
        </is>
      </c>
      <c r="C27" s="4" t="n"/>
      <c r="D27" s="12" t="inlineStr">
        <is>
          <t>73 – 84 л</t>
        </is>
      </c>
      <c r="E27" s="9" t="inlineStr">
        <is>
          <t>4</t>
        </is>
      </c>
    </row>
    <row r="28">
      <c r="B28" s="29" t="inlineStr">
        <is>
          <t>А, Б, Е, Ж</t>
        </is>
      </c>
      <c r="C28" s="4" t="n"/>
      <c r="D28" s="12" t="inlineStr">
        <is>
          <t>53 – 58 л</t>
        </is>
      </c>
      <c r="E28" s="9" t="inlineStr">
        <is>
          <t>3</t>
        </is>
      </c>
    </row>
    <row r="30">
      <c r="B30" s="30" t="inlineStr">
        <is>
          <t>Сейчас выдаётся 1 канистра (23 л) на любой птичник независимо от площади. По расчёту требуется 3 канистры для площадок А, Б, Е, Ж и 4 канистры для остальных.</t>
        </is>
      </c>
    </row>
    <row r="31"/>
  </sheetData>
  <mergeCells count="15">
    <mergeCell ref="D8:E8"/>
    <mergeCell ref="D6:E6"/>
    <mergeCell ref="B6:C6"/>
    <mergeCell ref="B5:C5"/>
    <mergeCell ref="F5:G5"/>
    <mergeCell ref="D5:E5"/>
    <mergeCell ref="B27:C27"/>
    <mergeCell ref="B28:C28"/>
    <mergeCell ref="B30:J31"/>
    <mergeCell ref="F6:G6"/>
    <mergeCell ref="B9:C9"/>
    <mergeCell ref="D9:E9"/>
    <mergeCell ref="B8:C8"/>
    <mergeCell ref="F9:G9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«Г»</t>
        </is>
      </c>
    </row>
    <row r="2" ht="16" customHeight="1">
      <c r="A2" s="32" t="inlineStr">
        <is>
          <t>Бройлерный участок №3, №4   ·   Птичников: 20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 ht="18" customHeight="1">
      <c r="A5" s="33" t="inlineStr">
        <is>
          <t>Бройлерный участок №3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4" t="n"/>
    </row>
    <row r="6">
      <c r="A6" s="10" t="n">
        <v>1</v>
      </c>
      <c r="B6" s="9" t="inlineStr">
        <is>
          <t>Г</t>
        </is>
      </c>
      <c r="C6" s="12" t="inlineStr">
        <is>
          <t>№3</t>
        </is>
      </c>
      <c r="D6" s="9" t="inlineStr">
        <is>
          <t>1-4</t>
        </is>
      </c>
      <c r="E6" s="10" t="n">
        <v>4410</v>
      </c>
      <c r="F6" s="35" t="n">
        <v>1458.72</v>
      </c>
      <c r="G6" s="12" t="inlineStr">
        <is>
          <t>Фоснитацид</t>
        </is>
      </c>
      <c r="H6" s="13">
        <f>'Параметры'!$C$8</f>
        <v>10</v>
      </c>
      <c r="I6" s="14">
        <f>F6*'Параметры'!$C$9*'Параметры'!$C$10*'Параметры'!$C$8/100</f>
        <v>72.936</v>
      </c>
      <c r="J6" s="15">
        <f>ROUNDUP(I6/'Параметры'!$C$11,0)</f>
        <v>4</v>
      </c>
    </row>
    <row r="7">
      <c r="A7" s="18" t="n">
        <v>2</v>
      </c>
      <c r="B7" s="17" t="inlineStr">
        <is>
          <t>Г</t>
        </is>
      </c>
      <c r="C7" s="20" t="inlineStr">
        <is>
          <t>№3</t>
        </is>
      </c>
      <c r="D7" s="17" t="inlineStr">
        <is>
          <t>1-3</t>
        </is>
      </c>
      <c r="E7" s="18" t="n">
        <v>4410</v>
      </c>
      <c r="F7" s="36" t="n">
        <v>1458.72</v>
      </c>
      <c r="G7" s="20" t="inlineStr">
        <is>
          <t>Фоснитацид</t>
        </is>
      </c>
      <c r="H7" s="21">
        <f>'Параметры'!$C$8</f>
        <v>10</v>
      </c>
      <c r="I7" s="22">
        <f>F7*'Параметры'!$C$9*'Параметры'!$C$10*'Параметры'!$C$8/100</f>
        <v>72.936</v>
      </c>
      <c r="J7" s="23">
        <f>ROUNDUP(I7/'Параметры'!$C$11,0)</f>
        <v>4</v>
      </c>
    </row>
    <row r="8">
      <c r="A8" s="10" t="n">
        <v>3</v>
      </c>
      <c r="B8" s="9" t="inlineStr">
        <is>
          <t>Г</t>
        </is>
      </c>
      <c r="C8" s="12" t="inlineStr">
        <is>
          <t>№3</t>
        </is>
      </c>
      <c r="D8" s="9" t="inlineStr">
        <is>
          <t>1-2</t>
        </is>
      </c>
      <c r="E8" s="10" t="n">
        <v>4410</v>
      </c>
      <c r="F8" s="35" t="n">
        <v>1458.72</v>
      </c>
      <c r="G8" s="12" t="inlineStr">
        <is>
          <t>Фоснитацид</t>
        </is>
      </c>
      <c r="H8" s="13">
        <f>'Параметры'!$C$8</f>
        <v>10</v>
      </c>
      <c r="I8" s="14">
        <f>F8*'Параметры'!$C$9*'Параметры'!$C$10*'Параметры'!$C$8/100</f>
        <v>72.936</v>
      </c>
      <c r="J8" s="15">
        <f>ROUNDUP(I8/'Параметры'!$C$11,0)</f>
        <v>4</v>
      </c>
    </row>
    <row r="9">
      <c r="A9" s="18" t="n">
        <v>4</v>
      </c>
      <c r="B9" s="17" t="inlineStr">
        <is>
          <t>Г</t>
        </is>
      </c>
      <c r="C9" s="20" t="inlineStr">
        <is>
          <t>№3</t>
        </is>
      </c>
      <c r="D9" s="17" t="inlineStr">
        <is>
          <t>1-1</t>
        </is>
      </c>
      <c r="E9" s="18" t="n">
        <v>4485</v>
      </c>
      <c r="F9" s="36" t="n">
        <v>1483.54</v>
      </c>
      <c r="G9" s="20" t="inlineStr">
        <is>
          <t>Фоснитацид</t>
        </is>
      </c>
      <c r="H9" s="21">
        <f>'Параметры'!$C$8</f>
        <v>10</v>
      </c>
      <c r="I9" s="22">
        <f>F9*'Параметры'!$C$9*'Параметры'!$C$10*'Параметры'!$C$8/100</f>
        <v>74.17699999999999</v>
      </c>
      <c r="J9" s="23">
        <f>ROUNDUP(I9/'Параметры'!$C$11,0)</f>
        <v>4</v>
      </c>
    </row>
    <row r="10">
      <c r="A10" s="10" t="n">
        <v>5</v>
      </c>
      <c r="B10" s="9" t="inlineStr">
        <is>
          <t>Г</t>
        </is>
      </c>
      <c r="C10" s="12" t="inlineStr">
        <is>
          <t>№3</t>
        </is>
      </c>
      <c r="D10" s="9" t="inlineStr">
        <is>
          <t>2-4</t>
        </is>
      </c>
      <c r="E10" s="10" t="n">
        <v>4401</v>
      </c>
      <c r="F10" s="35" t="n">
        <v>1486.31</v>
      </c>
      <c r="G10" s="12" t="inlineStr">
        <is>
          <t>Фоснитацид</t>
        </is>
      </c>
      <c r="H10" s="13">
        <f>'Параметры'!$C$8</f>
        <v>10</v>
      </c>
      <c r="I10" s="14">
        <f>F10*'Параметры'!$C$9*'Параметры'!$C$10*'Параметры'!$C$8/100</f>
        <v>74.31549999999999</v>
      </c>
      <c r="J10" s="15">
        <f>ROUNDUP(I10/'Параметры'!$C$11,0)</f>
        <v>4</v>
      </c>
    </row>
    <row r="11">
      <c r="A11" s="18" t="n">
        <v>6</v>
      </c>
      <c r="B11" s="17" t="inlineStr">
        <is>
          <t>Г</t>
        </is>
      </c>
      <c r="C11" s="20" t="inlineStr">
        <is>
          <t>№3</t>
        </is>
      </c>
      <c r="D11" s="17" t="inlineStr">
        <is>
          <t>2-3</t>
        </is>
      </c>
      <c r="E11" s="18" t="n">
        <v>4401</v>
      </c>
      <c r="F11" s="36" t="n">
        <v>1486.31</v>
      </c>
      <c r="G11" s="20" t="inlineStr">
        <is>
          <t>Фоснитацид</t>
        </is>
      </c>
      <c r="H11" s="21">
        <f>'Параметры'!$C$8</f>
        <v>10</v>
      </c>
      <c r="I11" s="22">
        <f>F11*'Параметры'!$C$9*'Параметры'!$C$10*'Параметры'!$C$8/100</f>
        <v>74.31549999999999</v>
      </c>
      <c r="J11" s="23">
        <f>ROUNDUP(I11/'Параметры'!$C$11,0)</f>
        <v>4</v>
      </c>
    </row>
    <row r="12">
      <c r="A12" s="10" t="n">
        <v>7</v>
      </c>
      <c r="B12" s="9" t="inlineStr">
        <is>
          <t>Г</t>
        </is>
      </c>
      <c r="C12" s="12" t="inlineStr">
        <is>
          <t>№3</t>
        </is>
      </c>
      <c r="D12" s="9" t="inlineStr">
        <is>
          <t>2-2</t>
        </is>
      </c>
      <c r="E12" s="10" t="n">
        <v>4401</v>
      </c>
      <c r="F12" s="35" t="n">
        <v>1486.31</v>
      </c>
      <c r="G12" s="12" t="inlineStr">
        <is>
          <t>Фоснитацид</t>
        </is>
      </c>
      <c r="H12" s="13">
        <f>'Параметры'!$C$8</f>
        <v>10</v>
      </c>
      <c r="I12" s="14">
        <f>F12*'Параметры'!$C$9*'Параметры'!$C$10*'Параметры'!$C$8/100</f>
        <v>74.31549999999999</v>
      </c>
      <c r="J12" s="15">
        <f>ROUNDUP(I12/'Параметры'!$C$11,0)</f>
        <v>4</v>
      </c>
    </row>
    <row r="13">
      <c r="A13" s="18" t="n">
        <v>8</v>
      </c>
      <c r="B13" s="17" t="inlineStr">
        <is>
          <t>Г</t>
        </is>
      </c>
      <c r="C13" s="20" t="inlineStr">
        <is>
          <t>№3</t>
        </is>
      </c>
      <c r="D13" s="17" t="inlineStr">
        <is>
          <t>2-1</t>
        </is>
      </c>
      <c r="E13" s="18" t="n">
        <v>4473</v>
      </c>
      <c r="F13" s="36" t="n">
        <v>1483.54</v>
      </c>
      <c r="G13" s="20" t="inlineStr">
        <is>
          <t>Фоснитацид</t>
        </is>
      </c>
      <c r="H13" s="21">
        <f>'Параметры'!$C$8</f>
        <v>10</v>
      </c>
      <c r="I13" s="22">
        <f>F13*'Параметры'!$C$9*'Параметры'!$C$10*'Параметры'!$C$8/100</f>
        <v>74.17699999999999</v>
      </c>
      <c r="J13" s="23">
        <f>ROUNDUP(I13/'Параметры'!$C$11,0)</f>
        <v>4</v>
      </c>
    </row>
    <row r="14">
      <c r="A14" s="10" t="n">
        <v>9</v>
      </c>
      <c r="B14" s="9" t="inlineStr">
        <is>
          <t>Г</t>
        </is>
      </c>
      <c r="C14" s="12" t="inlineStr">
        <is>
          <t>№3</t>
        </is>
      </c>
      <c r="D14" s="9" t="inlineStr">
        <is>
          <t>3-4</t>
        </is>
      </c>
      <c r="E14" s="10" t="n">
        <v>4488</v>
      </c>
      <c r="F14" s="35" t="n">
        <v>1488.26</v>
      </c>
      <c r="G14" s="12" t="inlineStr">
        <is>
          <t>Фоснитацид</t>
        </is>
      </c>
      <c r="H14" s="13">
        <f>'Параметры'!$C$8</f>
        <v>10</v>
      </c>
      <c r="I14" s="14">
        <f>F14*'Параметры'!$C$9*'Параметры'!$C$10*'Параметры'!$C$8/100</f>
        <v>74.413</v>
      </c>
      <c r="J14" s="15">
        <f>ROUNDUP(I14/'Параметры'!$C$11,0)</f>
        <v>4</v>
      </c>
    </row>
    <row r="15">
      <c r="A15" s="18" t="n">
        <v>10</v>
      </c>
      <c r="B15" s="17" t="inlineStr">
        <is>
          <t>Г</t>
        </is>
      </c>
      <c r="C15" s="20" t="inlineStr">
        <is>
          <t>№3</t>
        </is>
      </c>
      <c r="D15" s="17" t="inlineStr">
        <is>
          <t>3-3</t>
        </is>
      </c>
      <c r="E15" s="18" t="n">
        <v>4488</v>
      </c>
      <c r="F15" s="36" t="n">
        <v>1488.26</v>
      </c>
      <c r="G15" s="20" t="inlineStr">
        <is>
          <t>Фоснитацид</t>
        </is>
      </c>
      <c r="H15" s="21">
        <f>'Параметры'!$C$8</f>
        <v>10</v>
      </c>
      <c r="I15" s="22">
        <f>F15*'Параметры'!$C$9*'Параметры'!$C$10*'Параметры'!$C$8/100</f>
        <v>74.413</v>
      </c>
      <c r="J15" s="23">
        <f>ROUNDUP(I15/'Параметры'!$C$11,0)</f>
        <v>4</v>
      </c>
    </row>
    <row r="16">
      <c r="A16" s="10" t="n">
        <v>11</v>
      </c>
      <c r="B16" s="9" t="inlineStr">
        <is>
          <t>Г</t>
        </is>
      </c>
      <c r="C16" s="12" t="inlineStr">
        <is>
          <t>№3</t>
        </is>
      </c>
      <c r="D16" s="9" t="inlineStr">
        <is>
          <t>3-2</t>
        </is>
      </c>
      <c r="E16" s="10" t="n">
        <v>4488</v>
      </c>
      <c r="F16" s="35" t="n">
        <v>1488.26</v>
      </c>
      <c r="G16" s="12" t="inlineStr">
        <is>
          <t>Фоснитацид</t>
        </is>
      </c>
      <c r="H16" s="13">
        <f>'Параметры'!$C$8</f>
        <v>10</v>
      </c>
      <c r="I16" s="14">
        <f>F16*'Параметры'!$C$9*'Параметры'!$C$10*'Параметры'!$C$8/100</f>
        <v>74.413</v>
      </c>
      <c r="J16" s="15">
        <f>ROUNDUP(I16/'Параметры'!$C$11,0)</f>
        <v>4</v>
      </c>
    </row>
    <row r="17">
      <c r="A17" s="18" t="n">
        <v>12</v>
      </c>
      <c r="B17" s="17" t="inlineStr">
        <is>
          <t>Г</t>
        </is>
      </c>
      <c r="C17" s="20" t="inlineStr">
        <is>
          <t>№3</t>
        </is>
      </c>
      <c r="D17" s="17" t="inlineStr">
        <is>
          <t>3-1</t>
        </is>
      </c>
      <c r="E17" s="18" t="n">
        <v>4560</v>
      </c>
      <c r="F17" s="36" t="n">
        <v>1498.53</v>
      </c>
      <c r="G17" s="20" t="inlineStr">
        <is>
          <t>Фоснитацид</t>
        </is>
      </c>
      <c r="H17" s="21">
        <f>'Параметры'!$C$8</f>
        <v>10</v>
      </c>
      <c r="I17" s="22">
        <f>F17*'Параметры'!$C$9*'Параметры'!$C$10*'Параметры'!$C$8/100</f>
        <v>74.92649999999999</v>
      </c>
      <c r="J17" s="23">
        <f>ROUNDUP(I17/'Параметры'!$C$11,0)</f>
        <v>4</v>
      </c>
    </row>
    <row r="18" ht="18" customHeight="1">
      <c r="A18" s="33" t="inlineStr">
        <is>
          <t>Бройлерный участок №4</t>
        </is>
      </c>
      <c r="B18" s="34" t="n"/>
      <c r="C18" s="34" t="n"/>
      <c r="D18" s="34" t="n"/>
      <c r="E18" s="34" t="n"/>
      <c r="F18" s="34" t="n"/>
      <c r="G18" s="34" t="n"/>
      <c r="H18" s="34" t="n"/>
      <c r="I18" s="34" t="n"/>
      <c r="J18" s="4" t="n"/>
    </row>
    <row r="19">
      <c r="A19" s="10" t="n">
        <v>13</v>
      </c>
      <c r="B19" s="9" t="inlineStr">
        <is>
          <t>Г</t>
        </is>
      </c>
      <c r="C19" s="12" t="inlineStr">
        <is>
          <t>№4</t>
        </is>
      </c>
      <c r="D19" s="9" t="inlineStr">
        <is>
          <t>4-4</t>
        </is>
      </c>
      <c r="E19" s="10" t="n">
        <v>4536</v>
      </c>
      <c r="F19" s="35" t="n">
        <v>1517.78</v>
      </c>
      <c r="G19" s="12" t="inlineStr">
        <is>
          <t>Фоснитацид</t>
        </is>
      </c>
      <c r="H19" s="13">
        <f>'Параметры'!$C$8</f>
        <v>10</v>
      </c>
      <c r="I19" s="14">
        <f>F19*'Параметры'!$C$9*'Параметры'!$C$10*'Параметры'!$C$8/100</f>
        <v>75.889</v>
      </c>
      <c r="J19" s="15">
        <f>ROUNDUP(I19/'Параметры'!$C$11,0)</f>
        <v>4</v>
      </c>
    </row>
    <row r="20">
      <c r="A20" s="18" t="n">
        <v>14</v>
      </c>
      <c r="B20" s="17" t="inlineStr">
        <is>
          <t>Г</t>
        </is>
      </c>
      <c r="C20" s="20" t="inlineStr">
        <is>
          <t>№4</t>
        </is>
      </c>
      <c r="D20" s="17" t="inlineStr">
        <is>
          <t>4-3</t>
        </is>
      </c>
      <c r="E20" s="18" t="n">
        <v>4536</v>
      </c>
      <c r="F20" s="36" t="n">
        <v>1517.78</v>
      </c>
      <c r="G20" s="20" t="inlineStr">
        <is>
          <t>Фоснитацид</t>
        </is>
      </c>
      <c r="H20" s="21">
        <f>'Параметры'!$C$8</f>
        <v>10</v>
      </c>
      <c r="I20" s="22">
        <f>F20*'Параметры'!$C$9*'Параметры'!$C$10*'Параметры'!$C$8/100</f>
        <v>75.889</v>
      </c>
      <c r="J20" s="23">
        <f>ROUNDUP(I20/'Параметры'!$C$11,0)</f>
        <v>4</v>
      </c>
    </row>
    <row r="21">
      <c r="A21" s="10" t="n">
        <v>15</v>
      </c>
      <c r="B21" s="9" t="inlineStr">
        <is>
          <t>Г</t>
        </is>
      </c>
      <c r="C21" s="12" t="inlineStr">
        <is>
          <t>№4</t>
        </is>
      </c>
      <c r="D21" s="9" t="inlineStr">
        <is>
          <t>4-2</t>
        </is>
      </c>
      <c r="E21" s="10" t="n">
        <v>4536</v>
      </c>
      <c r="F21" s="35" t="n">
        <v>1517.78</v>
      </c>
      <c r="G21" s="12" t="inlineStr">
        <is>
          <t>Фоснитацид</t>
        </is>
      </c>
      <c r="H21" s="13">
        <f>'Параметры'!$C$8</f>
        <v>10</v>
      </c>
      <c r="I21" s="14">
        <f>F21*'Параметры'!$C$9*'Параметры'!$C$10*'Параметры'!$C$8/100</f>
        <v>75.889</v>
      </c>
      <c r="J21" s="15">
        <f>ROUNDUP(I21/'Параметры'!$C$11,0)</f>
        <v>4</v>
      </c>
    </row>
    <row r="22">
      <c r="A22" s="18" t="n">
        <v>16</v>
      </c>
      <c r="B22" s="17" t="inlineStr">
        <is>
          <t>Г</t>
        </is>
      </c>
      <c r="C22" s="20" t="inlineStr">
        <is>
          <t>№4</t>
        </is>
      </c>
      <c r="D22" s="17" t="inlineStr">
        <is>
          <t>4-1</t>
        </is>
      </c>
      <c r="E22" s="18" t="n">
        <v>4599</v>
      </c>
      <c r="F22" s="36" t="n">
        <v>1517.78</v>
      </c>
      <c r="G22" s="20" t="inlineStr">
        <is>
          <t>Фоснитацид</t>
        </is>
      </c>
      <c r="H22" s="21">
        <f>'Параметры'!$C$8</f>
        <v>10</v>
      </c>
      <c r="I22" s="22">
        <f>F22*'Параметры'!$C$9*'Параметры'!$C$10*'Параметры'!$C$8/100</f>
        <v>75.889</v>
      </c>
      <c r="J22" s="23">
        <f>ROUNDUP(I22/'Параметры'!$C$11,0)</f>
        <v>4</v>
      </c>
    </row>
    <row r="23">
      <c r="A23" s="10" t="n">
        <v>17</v>
      </c>
      <c r="B23" s="9" t="inlineStr">
        <is>
          <t>Г</t>
        </is>
      </c>
      <c r="C23" s="12" t="inlineStr">
        <is>
          <t>№4</t>
        </is>
      </c>
      <c r="D23" s="9" t="inlineStr">
        <is>
          <t>5-4</t>
        </is>
      </c>
      <c r="E23" s="10" t="n">
        <v>4530</v>
      </c>
      <c r="F23" s="35" t="n">
        <v>1513.84</v>
      </c>
      <c r="G23" s="12" t="inlineStr">
        <is>
          <t>Фоснитацид</t>
        </is>
      </c>
      <c r="H23" s="13">
        <f>'Параметры'!$C$8</f>
        <v>10</v>
      </c>
      <c r="I23" s="14">
        <f>F23*'Параметры'!$C$9*'Параметры'!$C$10*'Параметры'!$C$8/100</f>
        <v>75.692</v>
      </c>
      <c r="J23" s="15">
        <f>ROUNDUP(I23/'Параметры'!$C$11,0)</f>
        <v>4</v>
      </c>
    </row>
    <row r="24">
      <c r="A24" s="18" t="n">
        <v>18</v>
      </c>
      <c r="B24" s="17" t="inlineStr">
        <is>
          <t>Г</t>
        </is>
      </c>
      <c r="C24" s="20" t="inlineStr">
        <is>
          <t>№4</t>
        </is>
      </c>
      <c r="D24" s="17" t="inlineStr">
        <is>
          <t>5-3</t>
        </is>
      </c>
      <c r="E24" s="18" t="n">
        <v>4530</v>
      </c>
      <c r="F24" s="36" t="n">
        <v>1513.84</v>
      </c>
      <c r="G24" s="20" t="inlineStr">
        <is>
          <t>Фоснитацид</t>
        </is>
      </c>
      <c r="H24" s="21">
        <f>'Параметры'!$C$8</f>
        <v>10</v>
      </c>
      <c r="I24" s="22">
        <f>F24*'Параметры'!$C$9*'Параметры'!$C$10*'Параметры'!$C$8/100</f>
        <v>75.692</v>
      </c>
      <c r="J24" s="23">
        <f>ROUNDUP(I24/'Параметры'!$C$11,0)</f>
        <v>4</v>
      </c>
    </row>
    <row r="25">
      <c r="A25" s="10" t="n">
        <v>19</v>
      </c>
      <c r="B25" s="9" t="inlineStr">
        <is>
          <t>Г</t>
        </is>
      </c>
      <c r="C25" s="12" t="inlineStr">
        <is>
          <t>№4</t>
        </is>
      </c>
      <c r="D25" s="9" t="inlineStr">
        <is>
          <t>5-2</t>
        </is>
      </c>
      <c r="E25" s="10" t="n">
        <v>4530</v>
      </c>
      <c r="F25" s="35" t="n">
        <v>1513.84</v>
      </c>
      <c r="G25" s="12" t="inlineStr">
        <is>
          <t>Фоснитацид</t>
        </is>
      </c>
      <c r="H25" s="13">
        <f>'Параметры'!$C$8</f>
        <v>10</v>
      </c>
      <c r="I25" s="14">
        <f>F25*'Параметры'!$C$9*'Параметры'!$C$10*'Параметры'!$C$8/100</f>
        <v>75.692</v>
      </c>
      <c r="J25" s="15">
        <f>ROUNDUP(I25/'Параметры'!$C$11,0)</f>
        <v>4</v>
      </c>
    </row>
    <row r="26">
      <c r="A26" s="18" t="n">
        <v>20</v>
      </c>
      <c r="B26" s="17" t="inlineStr">
        <is>
          <t>Г</t>
        </is>
      </c>
      <c r="C26" s="20" t="inlineStr">
        <is>
          <t>№4</t>
        </is>
      </c>
      <c r="D26" s="17" t="inlineStr">
        <is>
          <t>5-1</t>
        </is>
      </c>
      <c r="E26" s="18" t="n">
        <v>4593</v>
      </c>
      <c r="F26" s="36" t="n">
        <v>1513.84</v>
      </c>
      <c r="G26" s="20" t="inlineStr">
        <is>
          <t>Фоснитацид</t>
        </is>
      </c>
      <c r="H26" s="21">
        <f>'Параметры'!$C$8</f>
        <v>10</v>
      </c>
      <c r="I26" s="22">
        <f>F26*'Параметры'!$C$9*'Параметры'!$C$10*'Параметры'!$C$8/100</f>
        <v>75.692</v>
      </c>
      <c r="J26" s="23">
        <f>ROUNDUP(I26/'Параметры'!$C$11,0)</f>
        <v>4</v>
      </c>
    </row>
    <row r="27" ht="20" customHeight="1">
      <c r="A27" s="25" t="inlineStr">
        <is>
          <t>ИТОГО</t>
        </is>
      </c>
      <c r="B27" s="28" t="inlineStr"/>
      <c r="C27" s="28" t="inlineStr"/>
      <c r="D27" s="26">
        <f>COUNT(A5:A26)</f>
        <v>20</v>
      </c>
      <c r="E27" s="26">
        <f>E6+E7+E8+E9+E10+E11+E12+E13+E14+E15+E16+E17+E19+E20+E21+E22+E23+E24+E25+E26</f>
        <v>89805</v>
      </c>
      <c r="F27" s="37">
        <f>F6+F7+F8+F9+F10+F11+F12+F13+F14+F15+F16+F17+F19+F20+F21+F22+F23+F24+F25+F26</f>
        <v>29891.959999999995</v>
      </c>
      <c r="G27" s="28" t="inlineStr"/>
      <c r="H27" s="28" t="inlineStr"/>
      <c r="I27" s="27">
        <f>I6+I7+I8+I9+I10+I11+I12+I13+I14+I15+I16+I17+I19+I20+I21+I22+I23+I24+I25+I26</f>
        <v>1494.5979999999997</v>
      </c>
      <c r="J27" s="26">
        <f>J6+J7+J8+J9+J10+J11+J12+J13+J14+J15+J16+J17+J19+J20+J21+J22+J23+J24+J25+J26</f>
        <v>80</v>
      </c>
    </row>
    <row r="29">
      <c r="A29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31">
      <c r="A31" s="38" t="inlineStr">
        <is>
          <t>Составил: ________________________</t>
        </is>
      </c>
      <c r="F31" s="38" t="inlineStr">
        <is>
          <t>Проверил: ________________________</t>
        </is>
      </c>
    </row>
  </sheetData>
  <mergeCells count="7">
    <mergeCell ref="A1:J1"/>
    <mergeCell ref="A5:J5"/>
    <mergeCell ref="A31:D31"/>
    <mergeCell ref="A18:J18"/>
    <mergeCell ref="A29:J29"/>
    <mergeCell ref="F31:J31"/>
    <mergeCell ref="A2:J2"/>
  </mergeCells>
  <pageMargins left="0.4" right="0.4" top="0.5" bottom="0.5" header="0.5" footer="0.5"/>
  <pageSetup orientation="portrait" paperSize="9" fitToHeight="0" fitToWidth="1"/>
  <headerFooter>
    <oddHeader/>
    <oddFooter>&amp;LПлощадка «Г» · Фоснитацид&amp;RСтр.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«Д»</t>
        </is>
      </c>
    </row>
    <row r="2" ht="16" customHeight="1">
      <c r="A2" s="32" t="inlineStr">
        <is>
          <t>Бройлерный участок №5, №6   ·   Птичников: 16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 ht="18" customHeight="1">
      <c r="A5" s="33" t="inlineStr">
        <is>
          <t>Бройлерный участок №5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4" t="n"/>
    </row>
    <row r="6">
      <c r="A6" s="10" t="n">
        <v>1</v>
      </c>
      <c r="B6" s="9" t="inlineStr">
        <is>
          <t>Д</t>
        </is>
      </c>
      <c r="C6" s="12" t="inlineStr">
        <is>
          <t>№5</t>
        </is>
      </c>
      <c r="D6" s="9" t="inlineStr">
        <is>
          <t>1-4</t>
        </is>
      </c>
      <c r="E6" s="10" t="n">
        <v>4500</v>
      </c>
      <c r="F6" s="35" t="n">
        <v>1501.4</v>
      </c>
      <c r="G6" s="12" t="inlineStr">
        <is>
          <t>Фоснитацид</t>
        </is>
      </c>
      <c r="H6" s="13">
        <f>'Параметры'!$C$8</f>
        <v>10</v>
      </c>
      <c r="I6" s="14">
        <f>F6*'Параметры'!$C$9*'Параметры'!$C$10*'Параметры'!$C$8/100</f>
        <v>75.07</v>
      </c>
      <c r="J6" s="15">
        <f>ROUNDUP(I6/'Параметры'!$C$11,0)</f>
        <v>4</v>
      </c>
    </row>
    <row r="7">
      <c r="A7" s="18" t="n">
        <v>2</v>
      </c>
      <c r="B7" s="17" t="inlineStr">
        <is>
          <t>Д</t>
        </is>
      </c>
      <c r="C7" s="20" t="inlineStr">
        <is>
          <t>№5</t>
        </is>
      </c>
      <c r="D7" s="17" t="inlineStr">
        <is>
          <t>1-3</t>
        </is>
      </c>
      <c r="E7" s="18" t="n">
        <v>4503</v>
      </c>
      <c r="F7" s="36" t="n">
        <v>1502.4</v>
      </c>
      <c r="G7" s="20" t="inlineStr">
        <is>
          <t>Фоснитацид</t>
        </is>
      </c>
      <c r="H7" s="21">
        <f>'Параметры'!$C$8</f>
        <v>10</v>
      </c>
      <c r="I7" s="22">
        <f>F7*'Параметры'!$C$9*'Параметры'!$C$10*'Параметры'!$C$8/100</f>
        <v>75.12</v>
      </c>
      <c r="J7" s="23">
        <f>ROUNDUP(I7/'Параметры'!$C$11,0)</f>
        <v>4</v>
      </c>
    </row>
    <row r="8">
      <c r="A8" s="10" t="n">
        <v>3</v>
      </c>
      <c r="B8" s="9" t="inlineStr">
        <is>
          <t>Д</t>
        </is>
      </c>
      <c r="C8" s="12" t="inlineStr">
        <is>
          <t>№5</t>
        </is>
      </c>
      <c r="D8" s="9" t="inlineStr">
        <is>
          <t>1-2</t>
        </is>
      </c>
      <c r="E8" s="10" t="n">
        <v>4497</v>
      </c>
      <c r="F8" s="35" t="n">
        <v>1499.7</v>
      </c>
      <c r="G8" s="12" t="inlineStr">
        <is>
          <t>Фоснитацид</t>
        </is>
      </c>
      <c r="H8" s="13">
        <f>'Параметры'!$C$8</f>
        <v>10</v>
      </c>
      <c r="I8" s="14">
        <f>F8*'Параметры'!$C$9*'Параметры'!$C$10*'Параметры'!$C$8/100</f>
        <v>74.985</v>
      </c>
      <c r="J8" s="15">
        <f>ROUNDUP(I8/'Параметры'!$C$11,0)</f>
        <v>4</v>
      </c>
    </row>
    <row r="9">
      <c r="A9" s="18" t="n">
        <v>4</v>
      </c>
      <c r="B9" s="17" t="inlineStr">
        <is>
          <t>Д</t>
        </is>
      </c>
      <c r="C9" s="20" t="inlineStr">
        <is>
          <t>№5</t>
        </is>
      </c>
      <c r="D9" s="17" t="inlineStr">
        <is>
          <t>1-1</t>
        </is>
      </c>
      <c r="E9" s="18" t="n">
        <v>4500</v>
      </c>
      <c r="F9" s="36" t="n">
        <v>1500.4</v>
      </c>
      <c r="G9" s="20" t="inlineStr">
        <is>
          <t>Фоснитацид</t>
        </is>
      </c>
      <c r="H9" s="21">
        <f>'Параметры'!$C$8</f>
        <v>10</v>
      </c>
      <c r="I9" s="22">
        <f>F9*'Параметры'!$C$9*'Параметры'!$C$10*'Параметры'!$C$8/100</f>
        <v>75.02</v>
      </c>
      <c r="J9" s="23">
        <f>ROUNDUP(I9/'Параметры'!$C$11,0)</f>
        <v>4</v>
      </c>
    </row>
    <row r="10">
      <c r="A10" s="10" t="n">
        <v>5</v>
      </c>
      <c r="B10" s="9" t="inlineStr">
        <is>
          <t>Д</t>
        </is>
      </c>
      <c r="C10" s="12" t="inlineStr">
        <is>
          <t>№5</t>
        </is>
      </c>
      <c r="D10" s="9" t="inlineStr">
        <is>
          <t>2-4</t>
        </is>
      </c>
      <c r="E10" s="10" t="n">
        <v>4527</v>
      </c>
      <c r="F10" s="35" t="n">
        <v>1510.1</v>
      </c>
      <c r="G10" s="12" t="inlineStr">
        <is>
          <t>Фоснитацид</t>
        </is>
      </c>
      <c r="H10" s="13">
        <f>'Параметры'!$C$8</f>
        <v>10</v>
      </c>
      <c r="I10" s="14">
        <f>F10*'Параметры'!$C$9*'Параметры'!$C$10*'Параметры'!$C$8/100</f>
        <v>75.505</v>
      </c>
      <c r="J10" s="15">
        <f>ROUNDUP(I10/'Параметры'!$C$11,0)</f>
        <v>4</v>
      </c>
    </row>
    <row r="11">
      <c r="A11" s="18" t="n">
        <v>6</v>
      </c>
      <c r="B11" s="17" t="inlineStr">
        <is>
          <t>Д</t>
        </is>
      </c>
      <c r="C11" s="20" t="inlineStr">
        <is>
          <t>№5</t>
        </is>
      </c>
      <c r="D11" s="17" t="inlineStr">
        <is>
          <t>2-3</t>
        </is>
      </c>
      <c r="E11" s="18" t="n">
        <v>4533</v>
      </c>
      <c r="F11" s="36" t="n">
        <v>1511.3</v>
      </c>
      <c r="G11" s="20" t="inlineStr">
        <is>
          <t>Фоснитацид</t>
        </is>
      </c>
      <c r="H11" s="21">
        <f>'Параметры'!$C$8</f>
        <v>10</v>
      </c>
      <c r="I11" s="22">
        <f>F11*'Параметры'!$C$9*'Параметры'!$C$10*'Параметры'!$C$8/100</f>
        <v>75.565</v>
      </c>
      <c r="J11" s="23">
        <f>ROUNDUP(I11/'Параметры'!$C$11,0)</f>
        <v>4</v>
      </c>
    </row>
    <row r="12">
      <c r="A12" s="10" t="n">
        <v>7</v>
      </c>
      <c r="B12" s="9" t="inlineStr">
        <is>
          <t>Д</t>
        </is>
      </c>
      <c r="C12" s="12" t="inlineStr">
        <is>
          <t>№5</t>
        </is>
      </c>
      <c r="D12" s="9" t="inlineStr">
        <is>
          <t>2-2</t>
        </is>
      </c>
      <c r="E12" s="10" t="n">
        <v>4530</v>
      </c>
      <c r="F12" s="35" t="n">
        <v>1510.1</v>
      </c>
      <c r="G12" s="12" t="inlineStr">
        <is>
          <t>Фоснитацид</t>
        </is>
      </c>
      <c r="H12" s="13">
        <f>'Параметры'!$C$8</f>
        <v>10</v>
      </c>
      <c r="I12" s="14">
        <f>F12*'Параметры'!$C$9*'Параметры'!$C$10*'Параметры'!$C$8/100</f>
        <v>75.505</v>
      </c>
      <c r="J12" s="15">
        <f>ROUNDUP(I12/'Параметры'!$C$11,0)</f>
        <v>4</v>
      </c>
    </row>
    <row r="13">
      <c r="A13" s="18" t="n">
        <v>8</v>
      </c>
      <c r="B13" s="17" t="inlineStr">
        <is>
          <t>Д</t>
        </is>
      </c>
      <c r="C13" s="20" t="inlineStr">
        <is>
          <t>№5</t>
        </is>
      </c>
      <c r="D13" s="17" t="inlineStr">
        <is>
          <t>2-1</t>
        </is>
      </c>
      <c r="E13" s="18" t="n">
        <v>4530</v>
      </c>
      <c r="F13" s="36" t="n">
        <v>1510.9</v>
      </c>
      <c r="G13" s="20" t="inlineStr">
        <is>
          <t>Фоснитацид</t>
        </is>
      </c>
      <c r="H13" s="21">
        <f>'Параметры'!$C$8</f>
        <v>10</v>
      </c>
      <c r="I13" s="22">
        <f>F13*'Параметры'!$C$9*'Параметры'!$C$10*'Параметры'!$C$8/100</f>
        <v>75.545</v>
      </c>
      <c r="J13" s="23">
        <f>ROUNDUP(I13/'Параметры'!$C$11,0)</f>
        <v>4</v>
      </c>
    </row>
    <row r="14" ht="18" customHeight="1">
      <c r="A14" s="33" t="inlineStr">
        <is>
          <t>Бройлерный участок №6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4" t="n"/>
    </row>
    <row r="15">
      <c r="A15" s="10" t="n">
        <v>9</v>
      </c>
      <c r="B15" s="9" t="inlineStr">
        <is>
          <t>Д</t>
        </is>
      </c>
      <c r="C15" s="12" t="inlineStr">
        <is>
          <t>№6</t>
        </is>
      </c>
      <c r="D15" s="9" t="inlineStr">
        <is>
          <t>3-4</t>
        </is>
      </c>
      <c r="E15" s="10" t="n">
        <v>4596</v>
      </c>
      <c r="F15" s="35" t="n">
        <v>1532.6</v>
      </c>
      <c r="G15" s="12" t="inlineStr">
        <is>
          <t>Фоснитацид</t>
        </is>
      </c>
      <c r="H15" s="13">
        <f>'Параметры'!$C$8</f>
        <v>10</v>
      </c>
      <c r="I15" s="14">
        <f>F15*'Параметры'!$C$9*'Параметры'!$C$10*'Параметры'!$C$8/100</f>
        <v>76.63</v>
      </c>
      <c r="J15" s="15">
        <f>ROUNDUP(I15/'Параметры'!$C$11,0)</f>
        <v>4</v>
      </c>
    </row>
    <row r="16">
      <c r="A16" s="18" t="n">
        <v>10</v>
      </c>
      <c r="B16" s="17" t="inlineStr">
        <is>
          <t>Д</t>
        </is>
      </c>
      <c r="C16" s="20" t="inlineStr">
        <is>
          <t>№6</t>
        </is>
      </c>
      <c r="D16" s="17" t="inlineStr">
        <is>
          <t>3-3</t>
        </is>
      </c>
      <c r="E16" s="18" t="n">
        <v>4590</v>
      </c>
      <c r="F16" s="36" t="n">
        <v>1530.5</v>
      </c>
      <c r="G16" s="20" t="inlineStr">
        <is>
          <t>Фоснитацид</t>
        </is>
      </c>
      <c r="H16" s="21">
        <f>'Параметры'!$C$8</f>
        <v>10</v>
      </c>
      <c r="I16" s="22">
        <f>F16*'Параметры'!$C$9*'Параметры'!$C$10*'Параметры'!$C$8/100</f>
        <v>76.525</v>
      </c>
      <c r="J16" s="23">
        <f>ROUNDUP(I16/'Параметры'!$C$11,0)</f>
        <v>4</v>
      </c>
    </row>
    <row r="17">
      <c r="A17" s="10" t="n">
        <v>11</v>
      </c>
      <c r="B17" s="9" t="inlineStr">
        <is>
          <t>Д</t>
        </is>
      </c>
      <c r="C17" s="12" t="inlineStr">
        <is>
          <t>№6</t>
        </is>
      </c>
      <c r="D17" s="9" t="inlineStr">
        <is>
          <t>3-2</t>
        </is>
      </c>
      <c r="E17" s="10" t="n">
        <v>4590</v>
      </c>
      <c r="F17" s="35" t="n">
        <v>1532.3</v>
      </c>
      <c r="G17" s="12" t="inlineStr">
        <is>
          <t>Фоснитацид</t>
        </is>
      </c>
      <c r="H17" s="13">
        <f>'Параметры'!$C$8</f>
        <v>10</v>
      </c>
      <c r="I17" s="14">
        <f>F17*'Параметры'!$C$9*'Параметры'!$C$10*'Параметры'!$C$8/100</f>
        <v>76.615</v>
      </c>
      <c r="J17" s="15">
        <f>ROUNDUP(I17/'Параметры'!$C$11,0)</f>
        <v>4</v>
      </c>
    </row>
    <row r="18">
      <c r="A18" s="18" t="n">
        <v>12</v>
      </c>
      <c r="B18" s="17" t="inlineStr">
        <is>
          <t>Д</t>
        </is>
      </c>
      <c r="C18" s="20" t="inlineStr">
        <is>
          <t>№6</t>
        </is>
      </c>
      <c r="D18" s="17" t="inlineStr">
        <is>
          <t>3-1</t>
        </is>
      </c>
      <c r="E18" s="18" t="n">
        <v>4593</v>
      </c>
      <c r="F18" s="36" t="n">
        <v>1531.1</v>
      </c>
      <c r="G18" s="20" t="inlineStr">
        <is>
          <t>Фоснитацид</t>
        </is>
      </c>
      <c r="H18" s="21">
        <f>'Параметры'!$C$8</f>
        <v>10</v>
      </c>
      <c r="I18" s="22">
        <f>F18*'Параметры'!$C$9*'Параметры'!$C$10*'Параметры'!$C$8/100</f>
        <v>76.555</v>
      </c>
      <c r="J18" s="23">
        <f>ROUNDUP(I18/'Параметры'!$C$11,0)</f>
        <v>4</v>
      </c>
    </row>
    <row r="19">
      <c r="A19" s="10" t="n">
        <v>13</v>
      </c>
      <c r="B19" s="9" t="inlineStr">
        <is>
          <t>Д</t>
        </is>
      </c>
      <c r="C19" s="12" t="inlineStr">
        <is>
          <t>№6</t>
        </is>
      </c>
      <c r="D19" s="9" t="inlineStr">
        <is>
          <t>4-4</t>
        </is>
      </c>
      <c r="E19" s="10" t="n">
        <v>4704</v>
      </c>
      <c r="F19" s="35" t="n">
        <v>1568.4</v>
      </c>
      <c r="G19" s="12" t="inlineStr">
        <is>
          <t>Фоснитацид</t>
        </is>
      </c>
      <c r="H19" s="13">
        <f>'Параметры'!$C$8</f>
        <v>10</v>
      </c>
      <c r="I19" s="14">
        <f>F19*'Параметры'!$C$9*'Параметры'!$C$10*'Параметры'!$C$8/100</f>
        <v>78.42</v>
      </c>
      <c r="J19" s="15">
        <f>ROUNDUP(I19/'Параметры'!$C$11,0)</f>
        <v>4</v>
      </c>
    </row>
    <row r="20">
      <c r="A20" s="18" t="n">
        <v>14</v>
      </c>
      <c r="B20" s="17" t="inlineStr">
        <is>
          <t>Д</t>
        </is>
      </c>
      <c r="C20" s="20" t="inlineStr">
        <is>
          <t>№6</t>
        </is>
      </c>
      <c r="D20" s="17" t="inlineStr">
        <is>
          <t>4-3</t>
        </is>
      </c>
      <c r="E20" s="18" t="n">
        <v>4710</v>
      </c>
      <c r="F20" s="36" t="n">
        <v>1570.4</v>
      </c>
      <c r="G20" s="20" t="inlineStr">
        <is>
          <t>Фоснитацид</t>
        </is>
      </c>
      <c r="H20" s="21">
        <f>'Параметры'!$C$8</f>
        <v>10</v>
      </c>
      <c r="I20" s="22">
        <f>F20*'Параметры'!$C$9*'Параметры'!$C$10*'Параметры'!$C$8/100</f>
        <v>78.52</v>
      </c>
      <c r="J20" s="23">
        <f>ROUNDUP(I20/'Параметры'!$C$11,0)</f>
        <v>4</v>
      </c>
    </row>
    <row r="21">
      <c r="A21" s="10" t="n">
        <v>15</v>
      </c>
      <c r="B21" s="9" t="inlineStr">
        <is>
          <t>Д</t>
        </is>
      </c>
      <c r="C21" s="12" t="inlineStr">
        <is>
          <t>№6</t>
        </is>
      </c>
      <c r="D21" s="9" t="inlineStr">
        <is>
          <t>4-2</t>
        </is>
      </c>
      <c r="E21" s="10" t="n">
        <v>4722</v>
      </c>
      <c r="F21" s="35" t="n">
        <v>1571.9</v>
      </c>
      <c r="G21" s="12" t="inlineStr">
        <is>
          <t>Фоснитацид</t>
        </is>
      </c>
      <c r="H21" s="13">
        <f>'Параметры'!$C$8</f>
        <v>10</v>
      </c>
      <c r="I21" s="14">
        <f>F21*'Параметры'!$C$9*'Параметры'!$C$10*'Параметры'!$C$8/100</f>
        <v>78.595</v>
      </c>
      <c r="J21" s="15">
        <f>ROUNDUP(I21/'Параметры'!$C$11,0)</f>
        <v>4</v>
      </c>
    </row>
    <row r="22">
      <c r="A22" s="18" t="n">
        <v>16</v>
      </c>
      <c r="B22" s="17" t="inlineStr">
        <is>
          <t>Д</t>
        </is>
      </c>
      <c r="C22" s="20" t="inlineStr">
        <is>
          <t>№6</t>
        </is>
      </c>
      <c r="D22" s="17" t="inlineStr">
        <is>
          <t>4-1</t>
        </is>
      </c>
      <c r="E22" s="18" t="n">
        <v>4725</v>
      </c>
      <c r="F22" s="36" t="n">
        <v>1574.8</v>
      </c>
      <c r="G22" s="20" t="inlineStr">
        <is>
          <t>Фоснитацид</t>
        </is>
      </c>
      <c r="H22" s="21">
        <f>'Параметры'!$C$8</f>
        <v>10</v>
      </c>
      <c r="I22" s="22">
        <f>F22*'Параметры'!$C$9*'Параметры'!$C$10*'Параметры'!$C$8/100</f>
        <v>78.74</v>
      </c>
      <c r="J22" s="23">
        <f>ROUNDUP(I22/'Параметры'!$C$11,0)</f>
        <v>4</v>
      </c>
    </row>
    <row r="23" ht="20" customHeight="1">
      <c r="A23" s="25" t="inlineStr">
        <is>
          <t>ИТОГО</t>
        </is>
      </c>
      <c r="B23" s="28" t="inlineStr"/>
      <c r="C23" s="28" t="inlineStr"/>
      <c r="D23" s="26">
        <f>COUNT(A5:A22)</f>
        <v>16</v>
      </c>
      <c r="E23" s="26">
        <f>E6+E7+E8+E9+E10+E11+E12+E13+E15+E16+E17+E18+E19+E20+E21+E22</f>
        <v>73350</v>
      </c>
      <c r="F23" s="37">
        <f>F6+F7+F8+F9+F10+F11+F12+F13+F15+F16+F17+F18+F19+F20+F21+F22</f>
        <v>24458.300000000003</v>
      </c>
      <c r="G23" s="28" t="inlineStr"/>
      <c r="H23" s="28" t="inlineStr"/>
      <c r="I23" s="27">
        <f>I6+I7+I8+I9+I10+I11+I12+I13+I15+I16+I17+I18+I19+I20+I21+I22</f>
        <v>1222.915</v>
      </c>
      <c r="J23" s="26">
        <f>J6+J7+J8+J9+J10+J11+J12+J13+J15+J16+J17+J18+J19+J20+J21+J22</f>
        <v>64</v>
      </c>
    </row>
    <row r="25">
      <c r="A25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27">
      <c r="A27" s="38" t="inlineStr">
        <is>
          <t>Составил: ________________________</t>
        </is>
      </c>
      <c r="F27" s="38" t="inlineStr">
        <is>
          <t>Проверил: ________________________</t>
        </is>
      </c>
    </row>
  </sheetData>
  <mergeCells count="7">
    <mergeCell ref="A1:J1"/>
    <mergeCell ref="A5:J5"/>
    <mergeCell ref="A27:D27"/>
    <mergeCell ref="A14:J14"/>
    <mergeCell ref="A2:J2"/>
    <mergeCell ref="A25:J25"/>
    <mergeCell ref="F27:J27"/>
  </mergeCells>
  <pageMargins left="0.4" right="0.4" top="0.5" bottom="0.5" header="0.5" footer="0.5"/>
  <pageSetup orientation="portrait" paperSize="9" fitToHeight="0" fitToWidth="1"/>
  <headerFooter>
    <oddHeader/>
    <oddFooter>&amp;LПлощадка «Д» · Фоснитацид&amp;RСтр.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«Б»</t>
        </is>
      </c>
    </row>
    <row r="2" ht="16" customHeight="1">
      <c r="A2" s="32" t="inlineStr">
        <is>
          <t>Бройлерный участок №7   ·   Птичников: 10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Б</t>
        </is>
      </c>
      <c r="C5" s="12" t="inlineStr">
        <is>
          <t>№7</t>
        </is>
      </c>
      <c r="D5" s="9" t="inlineStr">
        <is>
          <t>1</t>
        </is>
      </c>
      <c r="E5" s="10" t="n">
        <v>3456</v>
      </c>
      <c r="F5" s="35" t="n">
        <v>1162.9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58.145</v>
      </c>
      <c r="J5" s="15">
        <f>ROUNDUP(I5/'Параметры'!$C$11,0)</f>
        <v>3</v>
      </c>
    </row>
    <row r="6">
      <c r="A6" s="18" t="n">
        <v>2</v>
      </c>
      <c r="B6" s="17" t="inlineStr">
        <is>
          <t>Б</t>
        </is>
      </c>
      <c r="C6" s="20" t="inlineStr">
        <is>
          <t>№7</t>
        </is>
      </c>
      <c r="D6" s="17" t="inlineStr">
        <is>
          <t>2</t>
        </is>
      </c>
      <c r="E6" s="18" t="n">
        <v>3456</v>
      </c>
      <c r="F6" s="36" t="n">
        <v>1162.9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58.145</v>
      </c>
      <c r="J6" s="23">
        <f>ROUNDUP(I6/'Параметры'!$C$11,0)</f>
        <v>3</v>
      </c>
    </row>
    <row r="7">
      <c r="A7" s="10" t="n">
        <v>3</v>
      </c>
      <c r="B7" s="9" t="inlineStr">
        <is>
          <t>Б</t>
        </is>
      </c>
      <c r="C7" s="12" t="inlineStr">
        <is>
          <t>№7</t>
        </is>
      </c>
      <c r="D7" s="9" t="inlineStr">
        <is>
          <t>3</t>
        </is>
      </c>
      <c r="E7" s="10" t="n">
        <v>3456</v>
      </c>
      <c r="F7" s="35" t="n">
        <v>1150.4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57.52</v>
      </c>
      <c r="J7" s="15">
        <f>ROUNDUP(I7/'Параметры'!$C$11,0)</f>
        <v>3</v>
      </c>
    </row>
    <row r="8">
      <c r="A8" s="18" t="n">
        <v>4</v>
      </c>
      <c r="B8" s="17" t="inlineStr">
        <is>
          <t>Б</t>
        </is>
      </c>
      <c r="C8" s="20" t="inlineStr">
        <is>
          <t>№7</t>
        </is>
      </c>
      <c r="D8" s="17" t="inlineStr">
        <is>
          <t>4</t>
        </is>
      </c>
      <c r="E8" s="18" t="n">
        <v>3456</v>
      </c>
      <c r="F8" s="36" t="n">
        <v>1150.9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57.545</v>
      </c>
      <c r="J8" s="23">
        <f>ROUNDUP(I8/'Параметры'!$C$11,0)</f>
        <v>3</v>
      </c>
    </row>
    <row r="9">
      <c r="A9" s="10" t="n">
        <v>5</v>
      </c>
      <c r="B9" s="9" t="inlineStr">
        <is>
          <t>Б</t>
        </is>
      </c>
      <c r="C9" s="12" t="inlineStr">
        <is>
          <t>№7</t>
        </is>
      </c>
      <c r="D9" s="9" t="inlineStr">
        <is>
          <t>5</t>
        </is>
      </c>
      <c r="E9" s="10" t="n">
        <v>3456</v>
      </c>
      <c r="F9" s="35" t="n">
        <v>1108.4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55.42</v>
      </c>
      <c r="J9" s="15">
        <f>ROUNDUP(I9/'Параметры'!$C$11,0)</f>
        <v>3</v>
      </c>
    </row>
    <row r="10">
      <c r="A10" s="18" t="n">
        <v>6</v>
      </c>
      <c r="B10" s="17" t="inlineStr">
        <is>
          <t>Б</t>
        </is>
      </c>
      <c r="C10" s="20" t="inlineStr">
        <is>
          <t>№7</t>
        </is>
      </c>
      <c r="D10" s="17" t="inlineStr">
        <is>
          <t>6</t>
        </is>
      </c>
      <c r="E10" s="18" t="n">
        <v>3240</v>
      </c>
      <c r="F10" s="36" t="n">
        <v>1117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55.85</v>
      </c>
      <c r="J10" s="23">
        <f>ROUNDUP(I10/'Параметры'!$C$11,0)</f>
        <v>3</v>
      </c>
    </row>
    <row r="11">
      <c r="A11" s="10" t="n">
        <v>7</v>
      </c>
      <c r="B11" s="9" t="inlineStr">
        <is>
          <t>Б</t>
        </is>
      </c>
      <c r="C11" s="12" t="inlineStr">
        <is>
          <t>№7</t>
        </is>
      </c>
      <c r="D11" s="9" t="inlineStr">
        <is>
          <t>7</t>
        </is>
      </c>
      <c r="E11" s="10" t="n">
        <v>3240</v>
      </c>
      <c r="F11" s="35" t="n">
        <v>1091.5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54.575</v>
      </c>
      <c r="J11" s="15">
        <f>ROUNDUP(I11/'Параметры'!$C$11,0)</f>
        <v>3</v>
      </c>
    </row>
    <row r="12">
      <c r="A12" s="18" t="n">
        <v>8</v>
      </c>
      <c r="B12" s="17" t="inlineStr">
        <is>
          <t>Б</t>
        </is>
      </c>
      <c r="C12" s="20" t="inlineStr">
        <is>
          <t>№7</t>
        </is>
      </c>
      <c r="D12" s="17" t="inlineStr">
        <is>
          <t>8</t>
        </is>
      </c>
      <c r="E12" s="18" t="n">
        <v>3240</v>
      </c>
      <c r="F12" s="36" t="n">
        <v>1088.6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54.43</v>
      </c>
      <c r="J12" s="23">
        <f>ROUNDUP(I12/'Параметры'!$C$11,0)</f>
        <v>3</v>
      </c>
    </row>
    <row r="13">
      <c r="A13" s="10" t="n">
        <v>9</v>
      </c>
      <c r="B13" s="9" t="inlineStr">
        <is>
          <t>Б</t>
        </is>
      </c>
      <c r="C13" s="12" t="inlineStr">
        <is>
          <t>№7</t>
        </is>
      </c>
      <c r="D13" s="9" t="inlineStr">
        <is>
          <t>9</t>
        </is>
      </c>
      <c r="E13" s="10" t="n">
        <v>3240</v>
      </c>
      <c r="F13" s="35" t="n">
        <v>1102.9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55.145</v>
      </c>
      <c r="J13" s="15">
        <f>ROUNDUP(I13/'Параметры'!$C$11,0)</f>
        <v>3</v>
      </c>
    </row>
    <row r="14">
      <c r="A14" s="18" t="n">
        <v>10</v>
      </c>
      <c r="B14" s="17" t="inlineStr">
        <is>
          <t>Б</t>
        </is>
      </c>
      <c r="C14" s="20" t="inlineStr">
        <is>
          <t>№7</t>
        </is>
      </c>
      <c r="D14" s="17" t="inlineStr">
        <is>
          <t>10</t>
        </is>
      </c>
      <c r="E14" s="18" t="n">
        <v>3456</v>
      </c>
      <c r="F14" s="36" t="n">
        <v>1082.4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54.12</v>
      </c>
      <c r="J14" s="23">
        <f>ROUNDUP(I14/'Параметры'!$C$11,0)</f>
        <v>3</v>
      </c>
    </row>
    <row r="15" ht="20" customHeight="1">
      <c r="A15" s="25" t="inlineStr">
        <is>
          <t>ИТОГО</t>
        </is>
      </c>
      <c r="B15" s="28" t="inlineStr"/>
      <c r="C15" s="28" t="inlineStr"/>
      <c r="D15" s="26">
        <f>COUNT(A5:A14)</f>
        <v>10</v>
      </c>
      <c r="E15" s="26">
        <f>SUM(E5:E14)</f>
        <v>33696</v>
      </c>
      <c r="F15" s="37">
        <f>SUM(F5:F14)</f>
        <v>11217.9</v>
      </c>
      <c r="G15" s="28" t="inlineStr"/>
      <c r="H15" s="28" t="inlineStr"/>
      <c r="I15" s="27">
        <f>SUM(I5:I14)</f>
        <v>560.895</v>
      </c>
      <c r="J15" s="26">
        <f>SUM(J5:J14)</f>
        <v>30</v>
      </c>
    </row>
    <row r="17">
      <c r="A17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19">
      <c r="A19" s="38" t="inlineStr">
        <is>
          <t>Составил: ________________________</t>
        </is>
      </c>
      <c r="F19" s="38" t="inlineStr">
        <is>
          <t>Проверил: ________________________</t>
        </is>
      </c>
    </row>
  </sheetData>
  <mergeCells count="5">
    <mergeCell ref="A1:J1"/>
    <mergeCell ref="A17:J17"/>
    <mergeCell ref="F19:J19"/>
    <mergeCell ref="A19:D19"/>
    <mergeCell ref="A2:J2"/>
  </mergeCells>
  <pageMargins left="0.4" right="0.4" top="0.5" bottom="0.5" header="0.5" footer="0.5"/>
  <pageSetup orientation="portrait" paperSize="9" fitToHeight="0" fitToWidth="1"/>
  <headerFooter>
    <oddHeader/>
    <oddFooter>&amp;LПлощадка «Б» · Фоснитацид&amp;RСтр.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«Е»</t>
        </is>
      </c>
    </row>
    <row r="2" ht="16" customHeight="1">
      <c r="A2" s="32" t="inlineStr">
        <is>
          <t>Бройлерный участок №8   ·   Птичников: 10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Е</t>
        </is>
      </c>
      <c r="C5" s="12" t="inlineStr">
        <is>
          <t>№8</t>
        </is>
      </c>
      <c r="D5" s="9" t="inlineStr">
        <is>
          <t>1</t>
        </is>
      </c>
      <c r="E5" s="10" t="n">
        <v>3240</v>
      </c>
      <c r="F5" s="35" t="n">
        <v>1081.7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54.085</v>
      </c>
      <c r="J5" s="15">
        <f>ROUNDUP(I5/'Параметры'!$C$11,0)</f>
        <v>3</v>
      </c>
    </row>
    <row r="6">
      <c r="A6" s="18" t="n">
        <v>2</v>
      </c>
      <c r="B6" s="17" t="inlineStr">
        <is>
          <t>Е</t>
        </is>
      </c>
      <c r="C6" s="20" t="inlineStr">
        <is>
          <t>№8</t>
        </is>
      </c>
      <c r="D6" s="17" t="inlineStr">
        <is>
          <t>2</t>
        </is>
      </c>
      <c r="E6" s="18" t="n">
        <v>3240</v>
      </c>
      <c r="F6" s="36" t="n">
        <v>1088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54.4</v>
      </c>
      <c r="J6" s="23">
        <f>ROUNDUP(I6/'Параметры'!$C$11,0)</f>
        <v>3</v>
      </c>
    </row>
    <row r="7">
      <c r="A7" s="10" t="n">
        <v>3</v>
      </c>
      <c r="B7" s="9" t="inlineStr">
        <is>
          <t>Е</t>
        </is>
      </c>
      <c r="C7" s="12" t="inlineStr">
        <is>
          <t>№8</t>
        </is>
      </c>
      <c r="D7" s="9" t="inlineStr">
        <is>
          <t>3</t>
        </is>
      </c>
      <c r="E7" s="10" t="n">
        <v>3240</v>
      </c>
      <c r="F7" s="35" t="n">
        <v>1086.2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54.31</v>
      </c>
      <c r="J7" s="15">
        <f>ROUNDUP(I7/'Параметры'!$C$11,0)</f>
        <v>3</v>
      </c>
    </row>
    <row r="8">
      <c r="A8" s="18" t="n">
        <v>4</v>
      </c>
      <c r="B8" s="17" t="inlineStr">
        <is>
          <t>Е</t>
        </is>
      </c>
      <c r="C8" s="20" t="inlineStr">
        <is>
          <t>№8</t>
        </is>
      </c>
      <c r="D8" s="17" t="inlineStr">
        <is>
          <t>4</t>
        </is>
      </c>
      <c r="E8" s="18" t="n">
        <v>3240</v>
      </c>
      <c r="F8" s="36" t="n">
        <v>1087.4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54.37</v>
      </c>
      <c r="J8" s="23">
        <f>ROUNDUP(I8/'Параметры'!$C$11,0)</f>
        <v>3</v>
      </c>
    </row>
    <row r="9">
      <c r="A9" s="10" t="n">
        <v>5</v>
      </c>
      <c r="B9" s="9" t="inlineStr">
        <is>
          <t>Е</t>
        </is>
      </c>
      <c r="C9" s="12" t="inlineStr">
        <is>
          <t>№8</t>
        </is>
      </c>
      <c r="D9" s="9" t="inlineStr">
        <is>
          <t>5</t>
        </is>
      </c>
      <c r="E9" s="10" t="n">
        <v>3456</v>
      </c>
      <c r="F9" s="35" t="n">
        <v>1119.5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55.975</v>
      </c>
      <c r="J9" s="15">
        <f>ROUNDUP(I9/'Параметры'!$C$11,0)</f>
        <v>3</v>
      </c>
    </row>
    <row r="10">
      <c r="A10" s="18" t="n">
        <v>6</v>
      </c>
      <c r="B10" s="17" t="inlineStr">
        <is>
          <t>Е</t>
        </is>
      </c>
      <c r="C10" s="20" t="inlineStr">
        <is>
          <t>№8</t>
        </is>
      </c>
      <c r="D10" s="17" t="inlineStr">
        <is>
          <t>6</t>
        </is>
      </c>
      <c r="E10" s="18" t="n">
        <v>3240</v>
      </c>
      <c r="F10" s="36" t="n">
        <v>1119.5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55.975</v>
      </c>
      <c r="J10" s="23">
        <f>ROUNDUP(I10/'Параметры'!$C$11,0)</f>
        <v>3</v>
      </c>
    </row>
    <row r="11">
      <c r="A11" s="10" t="n">
        <v>7</v>
      </c>
      <c r="B11" s="9" t="inlineStr">
        <is>
          <t>Е</t>
        </is>
      </c>
      <c r="C11" s="12" t="inlineStr">
        <is>
          <t>№8</t>
        </is>
      </c>
      <c r="D11" s="9" t="inlineStr">
        <is>
          <t>7</t>
        </is>
      </c>
      <c r="E11" s="10" t="n">
        <v>3240</v>
      </c>
      <c r="F11" s="35" t="n">
        <v>1087.4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54.37</v>
      </c>
      <c r="J11" s="15">
        <f>ROUNDUP(I11/'Параметры'!$C$11,0)</f>
        <v>3</v>
      </c>
    </row>
    <row r="12">
      <c r="A12" s="18" t="n">
        <v>8</v>
      </c>
      <c r="B12" s="17" t="inlineStr">
        <is>
          <t>Е</t>
        </is>
      </c>
      <c r="C12" s="20" t="inlineStr">
        <is>
          <t>№8</t>
        </is>
      </c>
      <c r="D12" s="17" t="inlineStr">
        <is>
          <t>8</t>
        </is>
      </c>
      <c r="E12" s="18" t="n">
        <v>3240</v>
      </c>
      <c r="F12" s="36" t="n">
        <v>1085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54.25</v>
      </c>
      <c r="J12" s="23">
        <f>ROUNDUP(I12/'Параметры'!$C$11,0)</f>
        <v>3</v>
      </c>
    </row>
    <row r="13">
      <c r="A13" s="10" t="n">
        <v>9</v>
      </c>
      <c r="B13" s="9" t="inlineStr">
        <is>
          <t>Е</t>
        </is>
      </c>
      <c r="C13" s="12" t="inlineStr">
        <is>
          <t>№8</t>
        </is>
      </c>
      <c r="D13" s="9" t="inlineStr">
        <is>
          <t>9</t>
        </is>
      </c>
      <c r="E13" s="10" t="n">
        <v>3240</v>
      </c>
      <c r="F13" s="35" t="n">
        <v>1087.4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54.37</v>
      </c>
      <c r="J13" s="15">
        <f>ROUNDUP(I13/'Параметры'!$C$11,0)</f>
        <v>3</v>
      </c>
    </row>
    <row r="14">
      <c r="A14" s="18" t="n">
        <v>10</v>
      </c>
      <c r="B14" s="17" t="inlineStr">
        <is>
          <t>Е</t>
        </is>
      </c>
      <c r="C14" s="20" t="inlineStr">
        <is>
          <t>№8</t>
        </is>
      </c>
      <c r="D14" s="17" t="inlineStr">
        <is>
          <t>10</t>
        </is>
      </c>
      <c r="E14" s="18" t="n">
        <v>3456</v>
      </c>
      <c r="F14" s="36" t="n">
        <v>1086.2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54.31</v>
      </c>
      <c r="J14" s="23">
        <f>ROUNDUP(I14/'Параметры'!$C$11,0)</f>
        <v>3</v>
      </c>
    </row>
    <row r="15" ht="20" customHeight="1">
      <c r="A15" s="25" t="inlineStr">
        <is>
          <t>ИТОГО</t>
        </is>
      </c>
      <c r="B15" s="28" t="inlineStr"/>
      <c r="C15" s="28" t="inlineStr"/>
      <c r="D15" s="26">
        <f>COUNT(A5:A14)</f>
        <v>10</v>
      </c>
      <c r="E15" s="26">
        <f>SUM(E5:E14)</f>
        <v>32832</v>
      </c>
      <c r="F15" s="37">
        <f>SUM(F5:F14)</f>
        <v>10928.3</v>
      </c>
      <c r="G15" s="28" t="inlineStr"/>
      <c r="H15" s="28" t="inlineStr"/>
      <c r="I15" s="27">
        <f>SUM(I5:I14)</f>
        <v>546.4150000000001</v>
      </c>
      <c r="J15" s="26">
        <f>SUM(J5:J14)</f>
        <v>30</v>
      </c>
    </row>
    <row r="17">
      <c r="A17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19">
      <c r="A19" s="38" t="inlineStr">
        <is>
          <t>Составил: ________________________</t>
        </is>
      </c>
      <c r="F19" s="38" t="inlineStr">
        <is>
          <t>Проверил: ________________________</t>
        </is>
      </c>
    </row>
  </sheetData>
  <mergeCells count="5">
    <mergeCell ref="A1:J1"/>
    <mergeCell ref="A17:J17"/>
    <mergeCell ref="F19:J19"/>
    <mergeCell ref="A19:D19"/>
    <mergeCell ref="A2:J2"/>
  </mergeCells>
  <pageMargins left="0.4" right="0.4" top="0.5" bottom="0.5" header="0.5" footer="0.5"/>
  <pageSetup orientation="portrait" paperSize="9" fitToHeight="0" fitToWidth="1"/>
  <headerFooter>
    <oddHeader/>
    <oddFooter>&amp;LПлощадка «Е» · Фоснитацид&amp;RСтр.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«А»</t>
        </is>
      </c>
    </row>
    <row r="2" ht="16" customHeight="1">
      <c r="A2" s="32" t="inlineStr">
        <is>
          <t>Бройлерный участок №9   ·   Птичников: 10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А</t>
        </is>
      </c>
      <c r="C5" s="12" t="inlineStr">
        <is>
          <t>№9</t>
        </is>
      </c>
      <c r="D5" s="9" t="inlineStr">
        <is>
          <t>1</t>
        </is>
      </c>
      <c r="E5" s="10" t="n">
        <v>3456</v>
      </c>
      <c r="F5" s="35" t="n">
        <v>1114.5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55.725</v>
      </c>
      <c r="J5" s="15">
        <f>ROUNDUP(I5/'Параметры'!$C$11,0)</f>
        <v>3</v>
      </c>
    </row>
    <row r="6">
      <c r="A6" s="18" t="n">
        <v>2</v>
      </c>
      <c r="B6" s="17" t="inlineStr">
        <is>
          <t>А</t>
        </is>
      </c>
      <c r="C6" s="20" t="inlineStr">
        <is>
          <t>№9</t>
        </is>
      </c>
      <c r="D6" s="17" t="inlineStr">
        <is>
          <t>2</t>
        </is>
      </c>
      <c r="E6" s="18" t="n">
        <v>3240</v>
      </c>
      <c r="F6" s="36" t="n">
        <v>1061.5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53.075</v>
      </c>
      <c r="J6" s="23">
        <f>ROUNDUP(I6/'Параметры'!$C$11,0)</f>
        <v>3</v>
      </c>
    </row>
    <row r="7">
      <c r="A7" s="10" t="n">
        <v>3</v>
      </c>
      <c r="B7" s="9" t="inlineStr">
        <is>
          <t>А</t>
        </is>
      </c>
      <c r="C7" s="12" t="inlineStr">
        <is>
          <t>№9</t>
        </is>
      </c>
      <c r="D7" s="9" t="inlineStr">
        <is>
          <t>3</t>
        </is>
      </c>
      <c r="E7" s="10" t="n">
        <v>3240</v>
      </c>
      <c r="F7" s="35" t="n">
        <v>1061.5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53.075</v>
      </c>
      <c r="J7" s="15">
        <f>ROUNDUP(I7/'Параметры'!$C$11,0)</f>
        <v>3</v>
      </c>
    </row>
    <row r="8">
      <c r="A8" s="18" t="n">
        <v>4</v>
      </c>
      <c r="B8" s="17" t="inlineStr">
        <is>
          <t>А</t>
        </is>
      </c>
      <c r="C8" s="20" t="inlineStr">
        <is>
          <t>№9</t>
        </is>
      </c>
      <c r="D8" s="17" t="inlineStr">
        <is>
          <t>4</t>
        </is>
      </c>
      <c r="E8" s="18" t="n">
        <v>3240</v>
      </c>
      <c r="F8" s="36" t="n">
        <v>1061.5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53.075</v>
      </c>
      <c r="J8" s="23">
        <f>ROUNDUP(I8/'Параметры'!$C$11,0)</f>
        <v>3</v>
      </c>
    </row>
    <row r="9">
      <c r="A9" s="10" t="n">
        <v>5</v>
      </c>
      <c r="B9" s="9" t="inlineStr">
        <is>
          <t>А</t>
        </is>
      </c>
      <c r="C9" s="12" t="inlineStr">
        <is>
          <t>№9</t>
        </is>
      </c>
      <c r="D9" s="9" t="inlineStr">
        <is>
          <t>5</t>
        </is>
      </c>
      <c r="E9" s="10" t="n">
        <v>3240</v>
      </c>
      <c r="F9" s="35" t="n">
        <v>1061.5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53.075</v>
      </c>
      <c r="J9" s="15">
        <f>ROUNDUP(I9/'Параметры'!$C$11,0)</f>
        <v>3</v>
      </c>
    </row>
    <row r="10">
      <c r="A10" s="18" t="n">
        <v>6</v>
      </c>
      <c r="B10" s="17" t="inlineStr">
        <is>
          <t>А</t>
        </is>
      </c>
      <c r="C10" s="20" t="inlineStr">
        <is>
          <t>№9</t>
        </is>
      </c>
      <c r="D10" s="17" t="inlineStr">
        <is>
          <t>6</t>
        </is>
      </c>
      <c r="E10" s="18" t="n">
        <v>3456</v>
      </c>
      <c r="F10" s="36" t="n">
        <v>1114.5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55.725</v>
      </c>
      <c r="J10" s="23">
        <f>ROUNDUP(I10/'Параметры'!$C$11,0)</f>
        <v>3</v>
      </c>
    </row>
    <row r="11">
      <c r="A11" s="10" t="n">
        <v>7</v>
      </c>
      <c r="B11" s="9" t="inlineStr">
        <is>
          <t>А</t>
        </is>
      </c>
      <c r="C11" s="12" t="inlineStr">
        <is>
          <t>№9</t>
        </is>
      </c>
      <c r="D11" s="9" t="inlineStr">
        <is>
          <t>7</t>
        </is>
      </c>
      <c r="E11" s="10" t="n">
        <v>3240</v>
      </c>
      <c r="F11" s="35" t="n">
        <v>1098.2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54.91</v>
      </c>
      <c r="J11" s="15">
        <f>ROUNDUP(I11/'Параметры'!$C$11,0)</f>
        <v>3</v>
      </c>
    </row>
    <row r="12">
      <c r="A12" s="18" t="n">
        <v>8</v>
      </c>
      <c r="B12" s="17" t="inlineStr">
        <is>
          <t>А</t>
        </is>
      </c>
      <c r="C12" s="20" t="inlineStr">
        <is>
          <t>№9</t>
        </is>
      </c>
      <c r="D12" s="17" t="inlineStr">
        <is>
          <t>8</t>
        </is>
      </c>
      <c r="E12" s="18" t="n">
        <v>3240</v>
      </c>
      <c r="F12" s="36" t="n">
        <v>1098.2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54.91</v>
      </c>
      <c r="J12" s="23">
        <f>ROUNDUP(I12/'Параметры'!$C$11,0)</f>
        <v>3</v>
      </c>
    </row>
    <row r="13">
      <c r="A13" s="10" t="n">
        <v>9</v>
      </c>
      <c r="B13" s="9" t="inlineStr">
        <is>
          <t>А</t>
        </is>
      </c>
      <c r="C13" s="12" t="inlineStr">
        <is>
          <t>№9</t>
        </is>
      </c>
      <c r="D13" s="9" t="inlineStr">
        <is>
          <t>9</t>
        </is>
      </c>
      <c r="E13" s="10" t="n">
        <v>3240</v>
      </c>
      <c r="F13" s="35" t="n">
        <v>1098.2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54.91</v>
      </c>
      <c r="J13" s="15">
        <f>ROUNDUP(I13/'Параметры'!$C$11,0)</f>
        <v>3</v>
      </c>
    </row>
    <row r="14">
      <c r="A14" s="18" t="n">
        <v>10</v>
      </c>
      <c r="B14" s="17" t="inlineStr">
        <is>
          <t>А</t>
        </is>
      </c>
      <c r="C14" s="20" t="inlineStr">
        <is>
          <t>№9</t>
        </is>
      </c>
      <c r="D14" s="17" t="inlineStr">
        <is>
          <t>10</t>
        </is>
      </c>
      <c r="E14" s="18" t="n">
        <v>3240</v>
      </c>
      <c r="F14" s="36" t="n">
        <v>1098.2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54.91</v>
      </c>
      <c r="J14" s="23">
        <f>ROUNDUP(I14/'Параметры'!$C$11,0)</f>
        <v>3</v>
      </c>
    </row>
    <row r="15" ht="20" customHeight="1">
      <c r="A15" s="25" t="inlineStr">
        <is>
          <t>ИТОГО</t>
        </is>
      </c>
      <c r="B15" s="28" t="inlineStr"/>
      <c r="C15" s="28" t="inlineStr"/>
      <c r="D15" s="26">
        <f>COUNT(A5:A14)</f>
        <v>10</v>
      </c>
      <c r="E15" s="26">
        <f>SUM(E5:E14)</f>
        <v>32832</v>
      </c>
      <c r="F15" s="37">
        <f>SUM(F5:F14)</f>
        <v>10867.800000000001</v>
      </c>
      <c r="G15" s="28" t="inlineStr"/>
      <c r="H15" s="28" t="inlineStr"/>
      <c r="I15" s="27">
        <f>SUM(I5:I14)</f>
        <v>543.3899999999999</v>
      </c>
      <c r="J15" s="26">
        <f>SUM(J5:J14)</f>
        <v>30</v>
      </c>
    </row>
    <row r="17">
      <c r="A17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19">
      <c r="A19" s="38" t="inlineStr">
        <is>
          <t>Составил: ________________________</t>
        </is>
      </c>
      <c r="F19" s="38" t="inlineStr">
        <is>
          <t>Проверил: ________________________</t>
        </is>
      </c>
    </row>
  </sheetData>
  <mergeCells count="5">
    <mergeCell ref="A1:J1"/>
    <mergeCell ref="A17:J17"/>
    <mergeCell ref="F19:J19"/>
    <mergeCell ref="A19:D19"/>
    <mergeCell ref="A2:J2"/>
  </mergeCells>
  <pageMargins left="0.4" right="0.4" top="0.5" bottom="0.5" header="0.5" footer="0.5"/>
  <pageSetup orientation="portrait" paperSize="9" fitToHeight="0" fitToWidth="1"/>
  <headerFooter>
    <oddHeader/>
    <oddFooter>&amp;LПлощадка «А» · Фоснитацид&amp;RСтр.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«Ж»</t>
        </is>
      </c>
    </row>
    <row r="2" ht="16" customHeight="1">
      <c r="A2" s="32" t="inlineStr">
        <is>
          <t>Бройлерный участок №10   ·   Птичников: 5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Ж</t>
        </is>
      </c>
      <c r="C5" s="12" t="inlineStr">
        <is>
          <t>№10</t>
        </is>
      </c>
      <c r="D5" s="9" t="inlineStr">
        <is>
          <t>1</t>
        </is>
      </c>
      <c r="E5" s="10" t="n">
        <v>3456</v>
      </c>
      <c r="F5" s="35" t="n">
        <v>1122.9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56.145</v>
      </c>
      <c r="J5" s="15">
        <f>ROUNDUP(I5/'Параметры'!$C$11,0)</f>
        <v>3</v>
      </c>
    </row>
    <row r="6">
      <c r="A6" s="18" t="n">
        <v>2</v>
      </c>
      <c r="B6" s="17" t="inlineStr">
        <is>
          <t>Ж</t>
        </is>
      </c>
      <c r="C6" s="20" t="inlineStr">
        <is>
          <t>№10</t>
        </is>
      </c>
      <c r="D6" s="17" t="inlineStr">
        <is>
          <t>2</t>
        </is>
      </c>
      <c r="E6" s="18" t="n">
        <v>3456</v>
      </c>
      <c r="F6" s="36" t="n">
        <v>1123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56.15</v>
      </c>
      <c r="J6" s="23">
        <f>ROUNDUP(I6/'Параметры'!$C$11,0)</f>
        <v>3</v>
      </c>
    </row>
    <row r="7">
      <c r="A7" s="10" t="n">
        <v>3</v>
      </c>
      <c r="B7" s="9" t="inlineStr">
        <is>
          <t>Ж</t>
        </is>
      </c>
      <c r="C7" s="12" t="inlineStr">
        <is>
          <t>№10</t>
        </is>
      </c>
      <c r="D7" s="9" t="inlineStr">
        <is>
          <t>3</t>
        </is>
      </c>
      <c r="E7" s="10" t="n">
        <v>3456</v>
      </c>
      <c r="F7" s="35" t="n">
        <v>1123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56.15</v>
      </c>
      <c r="J7" s="15">
        <f>ROUNDUP(I7/'Параметры'!$C$11,0)</f>
        <v>3</v>
      </c>
    </row>
    <row r="8">
      <c r="A8" s="18" t="n">
        <v>4</v>
      </c>
      <c r="B8" s="17" t="inlineStr">
        <is>
          <t>Ж</t>
        </is>
      </c>
      <c r="C8" s="20" t="inlineStr">
        <is>
          <t>№10</t>
        </is>
      </c>
      <c r="D8" s="17" t="inlineStr">
        <is>
          <t>4</t>
        </is>
      </c>
      <c r="E8" s="18" t="n">
        <v>3456</v>
      </c>
      <c r="F8" s="36" t="n">
        <v>1123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56.15</v>
      </c>
      <c r="J8" s="23">
        <f>ROUNDUP(I8/'Параметры'!$C$11,0)</f>
        <v>3</v>
      </c>
    </row>
    <row r="9">
      <c r="A9" s="10" t="n">
        <v>5</v>
      </c>
      <c r="B9" s="9" t="inlineStr">
        <is>
          <t>Ж</t>
        </is>
      </c>
      <c r="C9" s="12" t="inlineStr">
        <is>
          <t>№10</t>
        </is>
      </c>
      <c r="D9" s="9" t="inlineStr">
        <is>
          <t>5</t>
        </is>
      </c>
      <c r="E9" s="10" t="n">
        <v>3456</v>
      </c>
      <c r="F9" s="35" t="n">
        <v>1123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56.15</v>
      </c>
      <c r="J9" s="15">
        <f>ROUNDUP(I9/'Параметры'!$C$11,0)</f>
        <v>3</v>
      </c>
    </row>
    <row r="10" ht="20" customHeight="1">
      <c r="A10" s="25" t="inlineStr">
        <is>
          <t>ИТОГО</t>
        </is>
      </c>
      <c r="B10" s="28" t="inlineStr"/>
      <c r="C10" s="28" t="inlineStr"/>
      <c r="D10" s="26">
        <f>COUNT(A5:A9)</f>
        <v>5</v>
      </c>
      <c r="E10" s="26">
        <f>SUM(E5:E9)</f>
        <v>17280</v>
      </c>
      <c r="F10" s="37">
        <f>SUM(F5:F9)</f>
        <v>5614.9</v>
      </c>
      <c r="G10" s="28" t="inlineStr"/>
      <c r="H10" s="28" t="inlineStr"/>
      <c r="I10" s="27">
        <f>SUM(I5:I9)</f>
        <v>280.745</v>
      </c>
      <c r="J10" s="26">
        <f>SUM(J5:J9)</f>
        <v>15</v>
      </c>
    </row>
    <row r="12">
      <c r="A12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14">
      <c r="A14" s="38" t="inlineStr">
        <is>
          <t>Составил: ________________________</t>
        </is>
      </c>
      <c r="F14" s="38" t="inlineStr">
        <is>
          <t>Проверил: ________________________</t>
        </is>
      </c>
    </row>
  </sheetData>
  <mergeCells count="5">
    <mergeCell ref="A1:J1"/>
    <mergeCell ref="A12:J12"/>
    <mergeCell ref="A2:J2"/>
    <mergeCell ref="F14:J14"/>
    <mergeCell ref="A14:D14"/>
  </mergeCells>
  <pageMargins left="0.4" right="0.4" top="0.5" bottom="0.5" header="0.5" footer="0.5"/>
  <pageSetup orientation="portrait" paperSize="9" fitToHeight="0" fitToWidth="1"/>
  <headerFooter>
    <oddHeader/>
    <oddFooter>&amp;LПлощадка «Ж» · Фоснитацид&amp;RСтр. &amp;P из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«В»</t>
        </is>
      </c>
    </row>
    <row r="2" ht="16" customHeight="1">
      <c r="A2" s="32" t="inlineStr">
        <is>
          <t>Бройлерный участок №11   ·   Птичников: 15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В</t>
        </is>
      </c>
      <c r="C5" s="12" t="inlineStr">
        <is>
          <t>№11</t>
        </is>
      </c>
      <c r="D5" s="9" t="inlineStr">
        <is>
          <t>1</t>
        </is>
      </c>
      <c r="E5" s="10" t="n">
        <v>6912</v>
      </c>
      <c r="F5" s="35" t="n">
        <v>1680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84</v>
      </c>
      <c r="J5" s="15">
        <f>ROUNDUP(I5/'Параметры'!$C$11,0)</f>
        <v>4</v>
      </c>
    </row>
    <row r="6">
      <c r="A6" s="18" t="n">
        <v>2</v>
      </c>
      <c r="B6" s="17" t="inlineStr">
        <is>
          <t>В</t>
        </is>
      </c>
      <c r="C6" s="20" t="inlineStr">
        <is>
          <t>№11</t>
        </is>
      </c>
      <c r="D6" s="17" t="inlineStr">
        <is>
          <t>2</t>
        </is>
      </c>
      <c r="E6" s="18" t="n">
        <v>6912</v>
      </c>
      <c r="F6" s="36" t="n">
        <v>1680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84</v>
      </c>
      <c r="J6" s="23">
        <f>ROUNDUP(I6/'Параметры'!$C$11,0)</f>
        <v>4</v>
      </c>
    </row>
    <row r="7">
      <c r="A7" s="10" t="n">
        <v>3</v>
      </c>
      <c r="B7" s="9" t="inlineStr">
        <is>
          <t>В</t>
        </is>
      </c>
      <c r="C7" s="12" t="inlineStr">
        <is>
          <t>№11</t>
        </is>
      </c>
      <c r="D7" s="9" t="inlineStr">
        <is>
          <t>3</t>
        </is>
      </c>
      <c r="E7" s="10" t="n">
        <v>6912</v>
      </c>
      <c r="F7" s="35" t="n">
        <v>1680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84</v>
      </c>
      <c r="J7" s="15">
        <f>ROUNDUP(I7/'Параметры'!$C$11,0)</f>
        <v>4</v>
      </c>
    </row>
    <row r="8">
      <c r="A8" s="18" t="n">
        <v>4</v>
      </c>
      <c r="B8" s="17" t="inlineStr">
        <is>
          <t>В</t>
        </is>
      </c>
      <c r="C8" s="20" t="inlineStr">
        <is>
          <t>№11</t>
        </is>
      </c>
      <c r="D8" s="17" t="inlineStr">
        <is>
          <t>4</t>
        </is>
      </c>
      <c r="E8" s="18" t="n">
        <v>6912</v>
      </c>
      <c r="F8" s="36" t="n">
        <v>1610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80.5</v>
      </c>
      <c r="J8" s="23">
        <f>ROUNDUP(I8/'Параметры'!$C$11,0)</f>
        <v>4</v>
      </c>
    </row>
    <row r="9">
      <c r="A9" s="10" t="n">
        <v>5</v>
      </c>
      <c r="B9" s="9" t="inlineStr">
        <is>
          <t>В</t>
        </is>
      </c>
      <c r="C9" s="12" t="inlineStr">
        <is>
          <t>№11</t>
        </is>
      </c>
      <c r="D9" s="9" t="inlineStr">
        <is>
          <t>5</t>
        </is>
      </c>
      <c r="E9" s="10" t="n">
        <v>6912</v>
      </c>
      <c r="F9" s="35" t="n">
        <v>1610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80.5</v>
      </c>
      <c r="J9" s="15">
        <f>ROUNDUP(I9/'Параметры'!$C$11,0)</f>
        <v>4</v>
      </c>
    </row>
    <row r="10">
      <c r="A10" s="18" t="n">
        <v>6</v>
      </c>
      <c r="B10" s="17" t="inlineStr">
        <is>
          <t>В</t>
        </is>
      </c>
      <c r="C10" s="20" t="inlineStr">
        <is>
          <t>№11</t>
        </is>
      </c>
      <c r="D10" s="17" t="inlineStr">
        <is>
          <t>6</t>
        </is>
      </c>
      <c r="E10" s="18" t="n">
        <v>6912</v>
      </c>
      <c r="F10" s="36" t="n">
        <v>1610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80.5</v>
      </c>
      <c r="J10" s="23">
        <f>ROUNDUP(I10/'Параметры'!$C$11,0)</f>
        <v>4</v>
      </c>
    </row>
    <row r="11">
      <c r="A11" s="10" t="n">
        <v>7</v>
      </c>
      <c r="B11" s="9" t="inlineStr">
        <is>
          <t>В</t>
        </is>
      </c>
      <c r="C11" s="12" t="inlineStr">
        <is>
          <t>№11</t>
        </is>
      </c>
      <c r="D11" s="9" t="inlineStr">
        <is>
          <t>7</t>
        </is>
      </c>
      <c r="E11" s="10" t="n">
        <v>6912</v>
      </c>
      <c r="F11" s="35" t="n">
        <v>1620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81</v>
      </c>
      <c r="J11" s="15">
        <f>ROUNDUP(I11/'Параметры'!$C$11,0)</f>
        <v>4</v>
      </c>
    </row>
    <row r="12">
      <c r="A12" s="18" t="n">
        <v>8</v>
      </c>
      <c r="B12" s="17" t="inlineStr">
        <is>
          <t>В</t>
        </is>
      </c>
      <c r="C12" s="20" t="inlineStr">
        <is>
          <t>№11</t>
        </is>
      </c>
      <c r="D12" s="17" t="inlineStr">
        <is>
          <t>8</t>
        </is>
      </c>
      <c r="E12" s="18" t="n">
        <v>6912</v>
      </c>
      <c r="F12" s="36" t="n">
        <v>1620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81</v>
      </c>
      <c r="J12" s="23">
        <f>ROUNDUP(I12/'Параметры'!$C$11,0)</f>
        <v>4</v>
      </c>
    </row>
    <row r="13">
      <c r="A13" s="10" t="n">
        <v>9</v>
      </c>
      <c r="B13" s="9" t="inlineStr">
        <is>
          <t>В</t>
        </is>
      </c>
      <c r="C13" s="12" t="inlineStr">
        <is>
          <t>№11</t>
        </is>
      </c>
      <c r="D13" s="9" t="inlineStr">
        <is>
          <t>9</t>
        </is>
      </c>
      <c r="E13" s="10" t="n">
        <v>6912</v>
      </c>
      <c r="F13" s="35" t="n">
        <v>1620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81</v>
      </c>
      <c r="J13" s="15">
        <f>ROUNDUP(I13/'Параметры'!$C$11,0)</f>
        <v>4</v>
      </c>
    </row>
    <row r="14">
      <c r="A14" s="18" t="n">
        <v>10</v>
      </c>
      <c r="B14" s="17" t="inlineStr">
        <is>
          <t>В</t>
        </is>
      </c>
      <c r="C14" s="20" t="inlineStr">
        <is>
          <t>№11</t>
        </is>
      </c>
      <c r="D14" s="17" t="inlineStr">
        <is>
          <t>10</t>
        </is>
      </c>
      <c r="E14" s="18" t="n">
        <v>6912</v>
      </c>
      <c r="F14" s="36" t="n">
        <v>1620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81</v>
      </c>
      <c r="J14" s="23">
        <f>ROUNDUP(I14/'Параметры'!$C$11,0)</f>
        <v>4</v>
      </c>
    </row>
    <row r="15">
      <c r="A15" s="10" t="n">
        <v>11</v>
      </c>
      <c r="B15" s="9" t="inlineStr">
        <is>
          <t>В</t>
        </is>
      </c>
      <c r="C15" s="12" t="inlineStr">
        <is>
          <t>№11</t>
        </is>
      </c>
      <c r="D15" s="9" t="inlineStr">
        <is>
          <t>11</t>
        </is>
      </c>
      <c r="E15" s="10" t="n">
        <v>6912</v>
      </c>
      <c r="F15" s="35" t="n">
        <v>1620</v>
      </c>
      <c r="G15" s="12" t="inlineStr">
        <is>
          <t>Фоснитацид</t>
        </is>
      </c>
      <c r="H15" s="13">
        <f>'Параметры'!$C$8</f>
        <v>10</v>
      </c>
      <c r="I15" s="14">
        <f>F15*'Параметры'!$C$9*'Параметры'!$C$10*'Параметры'!$C$8/100</f>
        <v>81</v>
      </c>
      <c r="J15" s="15">
        <f>ROUNDUP(I15/'Параметры'!$C$11,0)</f>
        <v>4</v>
      </c>
    </row>
    <row r="16">
      <c r="A16" s="18" t="n">
        <v>12</v>
      </c>
      <c r="B16" s="17" t="inlineStr">
        <is>
          <t>В</t>
        </is>
      </c>
      <c r="C16" s="20" t="inlineStr">
        <is>
          <t>№11</t>
        </is>
      </c>
      <c r="D16" s="17" t="inlineStr">
        <is>
          <t>12</t>
        </is>
      </c>
      <c r="E16" s="18" t="n">
        <v>6912</v>
      </c>
      <c r="F16" s="36" t="n">
        <v>1620</v>
      </c>
      <c r="G16" s="20" t="inlineStr">
        <is>
          <t>Фоснитацид</t>
        </is>
      </c>
      <c r="H16" s="21">
        <f>'Параметры'!$C$8</f>
        <v>10</v>
      </c>
      <c r="I16" s="22">
        <f>F16*'Параметры'!$C$9*'Параметры'!$C$10*'Параметры'!$C$8/100</f>
        <v>81</v>
      </c>
      <c r="J16" s="23">
        <f>ROUNDUP(I16/'Параметры'!$C$11,0)</f>
        <v>4</v>
      </c>
    </row>
    <row r="17">
      <c r="A17" s="10" t="n">
        <v>13</v>
      </c>
      <c r="B17" s="9" t="inlineStr">
        <is>
          <t>В</t>
        </is>
      </c>
      <c r="C17" s="12" t="inlineStr">
        <is>
          <t>№11</t>
        </is>
      </c>
      <c r="D17" s="9" t="inlineStr">
        <is>
          <t>13</t>
        </is>
      </c>
      <c r="E17" s="10" t="n">
        <v>7560</v>
      </c>
      <c r="F17" s="35" t="n">
        <v>1680</v>
      </c>
      <c r="G17" s="12" t="inlineStr">
        <is>
          <t>Фоснитацид</t>
        </is>
      </c>
      <c r="H17" s="13">
        <f>'Параметры'!$C$8</f>
        <v>10</v>
      </c>
      <c r="I17" s="14">
        <f>F17*'Параметры'!$C$9*'Параметры'!$C$10*'Параметры'!$C$8/100</f>
        <v>84</v>
      </c>
      <c r="J17" s="15">
        <f>ROUNDUP(I17/'Параметры'!$C$11,0)</f>
        <v>4</v>
      </c>
    </row>
    <row r="18">
      <c r="A18" s="18" t="n">
        <v>14</v>
      </c>
      <c r="B18" s="17" t="inlineStr">
        <is>
          <t>В</t>
        </is>
      </c>
      <c r="C18" s="20" t="inlineStr">
        <is>
          <t>№11</t>
        </is>
      </c>
      <c r="D18" s="17" t="inlineStr">
        <is>
          <t>14</t>
        </is>
      </c>
      <c r="E18" s="18" t="n">
        <v>7560</v>
      </c>
      <c r="F18" s="36" t="n">
        <v>1680</v>
      </c>
      <c r="G18" s="20" t="inlineStr">
        <is>
          <t>Фоснитацид</t>
        </is>
      </c>
      <c r="H18" s="21">
        <f>'Параметры'!$C$8</f>
        <v>10</v>
      </c>
      <c r="I18" s="22">
        <f>F18*'Параметры'!$C$9*'Параметры'!$C$10*'Параметры'!$C$8/100</f>
        <v>84</v>
      </c>
      <c r="J18" s="23">
        <f>ROUNDUP(I18/'Параметры'!$C$11,0)</f>
        <v>4</v>
      </c>
    </row>
    <row r="19">
      <c r="A19" s="10" t="n">
        <v>15</v>
      </c>
      <c r="B19" s="9" t="inlineStr">
        <is>
          <t>В</t>
        </is>
      </c>
      <c r="C19" s="12" t="inlineStr">
        <is>
          <t>№11</t>
        </is>
      </c>
      <c r="D19" s="9" t="inlineStr">
        <is>
          <t>15</t>
        </is>
      </c>
      <c r="E19" s="10" t="n">
        <v>7560</v>
      </c>
      <c r="F19" s="35" t="n">
        <v>1680</v>
      </c>
      <c r="G19" s="12" t="inlineStr">
        <is>
          <t>Фоснитацид</t>
        </is>
      </c>
      <c r="H19" s="13">
        <f>'Параметры'!$C$8</f>
        <v>10</v>
      </c>
      <c r="I19" s="14">
        <f>F19*'Параметры'!$C$9*'Параметры'!$C$10*'Параметры'!$C$8/100</f>
        <v>84</v>
      </c>
      <c r="J19" s="15">
        <f>ROUNDUP(I19/'Параметры'!$C$11,0)</f>
        <v>4</v>
      </c>
    </row>
    <row r="20" ht="20" customHeight="1">
      <c r="A20" s="25" t="inlineStr">
        <is>
          <t>ИТОГО</t>
        </is>
      </c>
      <c r="B20" s="28" t="inlineStr"/>
      <c r="C20" s="28" t="inlineStr"/>
      <c r="D20" s="26">
        <f>COUNT(A5:A19)</f>
        <v>15</v>
      </c>
      <c r="E20" s="26">
        <f>SUM(E5:E19)</f>
        <v>105624</v>
      </c>
      <c r="F20" s="37">
        <f>SUM(F5:F19)</f>
        <v>24630</v>
      </c>
      <c r="G20" s="28" t="inlineStr"/>
      <c r="H20" s="28" t="inlineStr"/>
      <c r="I20" s="27">
        <f>SUM(I5:I19)</f>
        <v>1231.5</v>
      </c>
      <c r="J20" s="26">
        <f>SUM(J5:J19)</f>
        <v>60</v>
      </c>
    </row>
    <row r="22">
      <c r="A22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24">
      <c r="A24" s="38" t="inlineStr">
        <is>
          <t>Составил: ________________________</t>
        </is>
      </c>
      <c r="F24" s="38" t="inlineStr">
        <is>
          <t>Проверил: ________________________</t>
        </is>
      </c>
    </row>
  </sheetData>
  <mergeCells count="5">
    <mergeCell ref="A1:J1"/>
    <mergeCell ref="A22:J22"/>
    <mergeCell ref="F24:J24"/>
    <mergeCell ref="A24:D24"/>
    <mergeCell ref="A2:J2"/>
  </mergeCells>
  <pageMargins left="0.4" right="0.4" top="0.5" bottom="0.5" header="0.5" footer="0.5"/>
  <pageSetup orientation="portrait" paperSize="9" fitToHeight="0" fitToWidth="1"/>
  <headerFooter>
    <oddHeader/>
    <oddFooter>&amp;LПлощадка «В» · Фоснитацид&amp;RСтр.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«БП-12»</t>
        </is>
      </c>
    </row>
    <row r="2" ht="16" customHeight="1">
      <c r="A2" s="32" t="inlineStr">
        <is>
          <t>Бройлерный участок №12   ·   Птичников: 12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БП-12</t>
        </is>
      </c>
      <c r="C5" s="12" t="inlineStr">
        <is>
          <t>№12</t>
        </is>
      </c>
      <c r="D5" s="9" t="inlineStr">
        <is>
          <t>1</t>
        </is>
      </c>
      <c r="E5" s="10" t="n">
        <v>7560</v>
      </c>
      <c r="F5" s="35" t="n">
        <v>1670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83.5</v>
      </c>
      <c r="J5" s="15">
        <f>ROUNDUP(I5/'Параметры'!$C$11,0)</f>
        <v>4</v>
      </c>
    </row>
    <row r="6">
      <c r="A6" s="18" t="n">
        <v>2</v>
      </c>
      <c r="B6" s="17" t="inlineStr">
        <is>
          <t>БП-12</t>
        </is>
      </c>
      <c r="C6" s="20" t="inlineStr">
        <is>
          <t>№12</t>
        </is>
      </c>
      <c r="D6" s="17" t="inlineStr">
        <is>
          <t>2</t>
        </is>
      </c>
      <c r="E6" s="18" t="n">
        <v>7560</v>
      </c>
      <c r="F6" s="36" t="n">
        <v>1670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83.5</v>
      </c>
      <c r="J6" s="23">
        <f>ROUNDUP(I6/'Параметры'!$C$11,0)</f>
        <v>4</v>
      </c>
    </row>
    <row r="7">
      <c r="A7" s="10" t="n">
        <v>3</v>
      </c>
      <c r="B7" s="9" t="inlineStr">
        <is>
          <t>БП-12</t>
        </is>
      </c>
      <c r="C7" s="12" t="inlineStr">
        <is>
          <t>№12</t>
        </is>
      </c>
      <c r="D7" s="9" t="inlineStr">
        <is>
          <t>3</t>
        </is>
      </c>
      <c r="E7" s="10" t="n">
        <v>7560</v>
      </c>
      <c r="F7" s="35" t="n">
        <v>1670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83.5</v>
      </c>
      <c r="J7" s="15">
        <f>ROUNDUP(I7/'Параметры'!$C$11,0)</f>
        <v>4</v>
      </c>
    </row>
    <row r="8">
      <c r="A8" s="18" t="n">
        <v>4</v>
      </c>
      <c r="B8" s="17" t="inlineStr">
        <is>
          <t>БП-12</t>
        </is>
      </c>
      <c r="C8" s="20" t="inlineStr">
        <is>
          <t>№12</t>
        </is>
      </c>
      <c r="D8" s="17" t="inlineStr">
        <is>
          <t>4</t>
        </is>
      </c>
      <c r="E8" s="18" t="n">
        <v>7560</v>
      </c>
      <c r="F8" s="36" t="n">
        <v>1670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83.5</v>
      </c>
      <c r="J8" s="23">
        <f>ROUNDUP(I8/'Параметры'!$C$11,0)</f>
        <v>4</v>
      </c>
    </row>
    <row r="9">
      <c r="A9" s="10" t="n">
        <v>5</v>
      </c>
      <c r="B9" s="9" t="inlineStr">
        <is>
          <t>БП-12</t>
        </is>
      </c>
      <c r="C9" s="12" t="inlineStr">
        <is>
          <t>№12</t>
        </is>
      </c>
      <c r="D9" s="9" t="inlineStr">
        <is>
          <t>5</t>
        </is>
      </c>
      <c r="E9" s="10" t="n">
        <v>7560</v>
      </c>
      <c r="F9" s="35" t="n">
        <v>1670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83.5</v>
      </c>
      <c r="J9" s="15">
        <f>ROUNDUP(I9/'Параметры'!$C$11,0)</f>
        <v>4</v>
      </c>
    </row>
    <row r="10">
      <c r="A10" s="18" t="n">
        <v>6</v>
      </c>
      <c r="B10" s="17" t="inlineStr">
        <is>
          <t>БП-12</t>
        </is>
      </c>
      <c r="C10" s="20" t="inlineStr">
        <is>
          <t>№12</t>
        </is>
      </c>
      <c r="D10" s="17" t="inlineStr">
        <is>
          <t>6</t>
        </is>
      </c>
      <c r="E10" s="18" t="n">
        <v>7560</v>
      </c>
      <c r="F10" s="36" t="n">
        <v>1670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83.5</v>
      </c>
      <c r="J10" s="23">
        <f>ROUNDUP(I10/'Параметры'!$C$11,0)</f>
        <v>4</v>
      </c>
    </row>
    <row r="11">
      <c r="A11" s="10" t="n">
        <v>7</v>
      </c>
      <c r="B11" s="9" t="inlineStr">
        <is>
          <t>БП-12</t>
        </is>
      </c>
      <c r="C11" s="12" t="inlineStr">
        <is>
          <t>№12</t>
        </is>
      </c>
      <c r="D11" s="9" t="inlineStr">
        <is>
          <t>7</t>
        </is>
      </c>
      <c r="E11" s="10" t="n">
        <v>7560</v>
      </c>
      <c r="F11" s="35" t="n">
        <v>1670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83.5</v>
      </c>
      <c r="J11" s="15">
        <f>ROUNDUP(I11/'Параметры'!$C$11,0)</f>
        <v>4</v>
      </c>
    </row>
    <row r="12">
      <c r="A12" s="18" t="n">
        <v>8</v>
      </c>
      <c r="B12" s="17" t="inlineStr">
        <is>
          <t>БП-12</t>
        </is>
      </c>
      <c r="C12" s="20" t="inlineStr">
        <is>
          <t>№12</t>
        </is>
      </c>
      <c r="D12" s="17" t="inlineStr">
        <is>
          <t>8</t>
        </is>
      </c>
      <c r="E12" s="18" t="n">
        <v>7560</v>
      </c>
      <c r="F12" s="36" t="n">
        <v>1670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83.5</v>
      </c>
      <c r="J12" s="23">
        <f>ROUNDUP(I12/'Параметры'!$C$11,0)</f>
        <v>4</v>
      </c>
    </row>
    <row r="13">
      <c r="A13" s="10" t="n">
        <v>9</v>
      </c>
      <c r="B13" s="9" t="inlineStr">
        <is>
          <t>БП-12</t>
        </is>
      </c>
      <c r="C13" s="12" t="inlineStr">
        <is>
          <t>№12</t>
        </is>
      </c>
      <c r="D13" s="9" t="inlineStr">
        <is>
          <t>9</t>
        </is>
      </c>
      <c r="E13" s="10" t="n">
        <v>7560</v>
      </c>
      <c r="F13" s="35" t="n">
        <v>1670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83.5</v>
      </c>
      <c r="J13" s="15">
        <f>ROUNDUP(I13/'Параметры'!$C$11,0)</f>
        <v>4</v>
      </c>
    </row>
    <row r="14">
      <c r="A14" s="18" t="n">
        <v>10</v>
      </c>
      <c r="B14" s="17" t="inlineStr">
        <is>
          <t>БП-12</t>
        </is>
      </c>
      <c r="C14" s="20" t="inlineStr">
        <is>
          <t>№12</t>
        </is>
      </c>
      <c r="D14" s="17" t="inlineStr">
        <is>
          <t>10</t>
        </is>
      </c>
      <c r="E14" s="18" t="n">
        <v>7560</v>
      </c>
      <c r="F14" s="36" t="n">
        <v>1670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83.5</v>
      </c>
      <c r="J14" s="23">
        <f>ROUNDUP(I14/'Параметры'!$C$11,0)</f>
        <v>4</v>
      </c>
    </row>
    <row r="15">
      <c r="A15" s="10" t="n">
        <v>11</v>
      </c>
      <c r="B15" s="9" t="inlineStr">
        <is>
          <t>БП-12</t>
        </is>
      </c>
      <c r="C15" s="12" t="inlineStr">
        <is>
          <t>№12</t>
        </is>
      </c>
      <c r="D15" s="9" t="inlineStr">
        <is>
          <t>11</t>
        </is>
      </c>
      <c r="E15" s="10" t="n">
        <v>7560</v>
      </c>
      <c r="F15" s="35" t="n">
        <v>1670</v>
      </c>
      <c r="G15" s="12" t="inlineStr">
        <is>
          <t>Фоснитацид</t>
        </is>
      </c>
      <c r="H15" s="13">
        <f>'Параметры'!$C$8</f>
        <v>10</v>
      </c>
      <c r="I15" s="14">
        <f>F15*'Параметры'!$C$9*'Параметры'!$C$10*'Параметры'!$C$8/100</f>
        <v>83.5</v>
      </c>
      <c r="J15" s="15">
        <f>ROUNDUP(I15/'Параметры'!$C$11,0)</f>
        <v>4</v>
      </c>
    </row>
    <row r="16">
      <c r="A16" s="18" t="n">
        <v>12</v>
      </c>
      <c r="B16" s="17" t="inlineStr">
        <is>
          <t>БП-12</t>
        </is>
      </c>
      <c r="C16" s="20" t="inlineStr">
        <is>
          <t>№12</t>
        </is>
      </c>
      <c r="D16" s="17" t="inlineStr">
        <is>
          <t>12</t>
        </is>
      </c>
      <c r="E16" s="18" t="n">
        <v>7560</v>
      </c>
      <c r="F16" s="36" t="n">
        <v>1670</v>
      </c>
      <c r="G16" s="20" t="inlineStr">
        <is>
          <t>Фоснитацид</t>
        </is>
      </c>
      <c r="H16" s="21">
        <f>'Параметры'!$C$8</f>
        <v>10</v>
      </c>
      <c r="I16" s="22">
        <f>F16*'Параметры'!$C$9*'Параметры'!$C$10*'Параметры'!$C$8/100</f>
        <v>83.5</v>
      </c>
      <c r="J16" s="23">
        <f>ROUNDUP(I16/'Параметры'!$C$11,0)</f>
        <v>4</v>
      </c>
    </row>
    <row r="17" ht="20" customHeight="1">
      <c r="A17" s="25" t="inlineStr">
        <is>
          <t>ИТОГО</t>
        </is>
      </c>
      <c r="B17" s="28" t="inlineStr"/>
      <c r="C17" s="28" t="inlineStr"/>
      <c r="D17" s="26">
        <f>COUNT(A5:A16)</f>
        <v>12</v>
      </c>
      <c r="E17" s="26">
        <f>SUM(E5:E16)</f>
        <v>90720</v>
      </c>
      <c r="F17" s="37">
        <f>SUM(F5:F16)</f>
        <v>20040</v>
      </c>
      <c r="G17" s="28" t="inlineStr"/>
      <c r="H17" s="28" t="inlineStr"/>
      <c r="I17" s="27">
        <f>SUM(I5:I16)</f>
        <v>1002</v>
      </c>
      <c r="J17" s="26">
        <f>SUM(J5:J16)</f>
        <v>48</v>
      </c>
    </row>
    <row r="19">
      <c r="A19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21">
      <c r="A21" s="38" t="inlineStr">
        <is>
          <t>Составил: ________________________</t>
        </is>
      </c>
      <c r="F21" s="38" t="inlineStr">
        <is>
          <t>Проверил: ________________________</t>
        </is>
      </c>
    </row>
  </sheetData>
  <mergeCells count="5">
    <mergeCell ref="A1:J1"/>
    <mergeCell ref="F21:J21"/>
    <mergeCell ref="A21:D21"/>
    <mergeCell ref="A2:J2"/>
    <mergeCell ref="A19:J19"/>
  </mergeCells>
  <pageMargins left="0.4" right="0.4" top="0.5" bottom="0.5" header="0.5" footer="0.5"/>
  <pageSetup orientation="portrait" paperSize="9" fitToHeight="0" fitToWidth="1"/>
  <headerFooter>
    <oddHeader/>
    <oddFooter>&amp;LПлощадка «БП-12» · Фоснитацид&amp;RСтр. &amp;P из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«БП-13»</t>
        </is>
      </c>
    </row>
    <row r="2" ht="16" customHeight="1">
      <c r="A2" s="32" t="inlineStr">
        <is>
          <t>Бройлерный участок №13   ·   Птичников: 12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БП-13</t>
        </is>
      </c>
      <c r="C5" s="12" t="inlineStr">
        <is>
          <t>№13</t>
        </is>
      </c>
      <c r="D5" s="9" t="inlineStr">
        <is>
          <t>1</t>
        </is>
      </c>
      <c r="E5" s="10" t="n">
        <v>7560</v>
      </c>
      <c r="F5" s="35" t="n">
        <v>1670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83.5</v>
      </c>
      <c r="J5" s="15">
        <f>ROUNDUP(I5/'Параметры'!$C$11,0)</f>
        <v>4</v>
      </c>
    </row>
    <row r="6">
      <c r="A6" s="18" t="n">
        <v>2</v>
      </c>
      <c r="B6" s="17" t="inlineStr">
        <is>
          <t>БП-13</t>
        </is>
      </c>
      <c r="C6" s="20" t="inlineStr">
        <is>
          <t>№13</t>
        </is>
      </c>
      <c r="D6" s="17" t="inlineStr">
        <is>
          <t>2</t>
        </is>
      </c>
      <c r="E6" s="18" t="n">
        <v>7560</v>
      </c>
      <c r="F6" s="36" t="n">
        <v>1670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83.5</v>
      </c>
      <c r="J6" s="23">
        <f>ROUNDUP(I6/'Параметры'!$C$11,0)</f>
        <v>4</v>
      </c>
    </row>
    <row r="7">
      <c r="A7" s="10" t="n">
        <v>3</v>
      </c>
      <c r="B7" s="9" t="inlineStr">
        <is>
          <t>БП-13</t>
        </is>
      </c>
      <c r="C7" s="12" t="inlineStr">
        <is>
          <t>№13</t>
        </is>
      </c>
      <c r="D7" s="9" t="inlineStr">
        <is>
          <t>3</t>
        </is>
      </c>
      <c r="E7" s="10" t="n">
        <v>7560</v>
      </c>
      <c r="F7" s="35" t="n">
        <v>1670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83.5</v>
      </c>
      <c r="J7" s="15">
        <f>ROUNDUP(I7/'Параметры'!$C$11,0)</f>
        <v>4</v>
      </c>
    </row>
    <row r="8">
      <c r="A8" s="18" t="n">
        <v>4</v>
      </c>
      <c r="B8" s="17" t="inlineStr">
        <is>
          <t>БП-13</t>
        </is>
      </c>
      <c r="C8" s="20" t="inlineStr">
        <is>
          <t>№13</t>
        </is>
      </c>
      <c r="D8" s="17" t="inlineStr">
        <is>
          <t>4</t>
        </is>
      </c>
      <c r="E8" s="18" t="n">
        <v>7560</v>
      </c>
      <c r="F8" s="36" t="n">
        <v>1670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83.5</v>
      </c>
      <c r="J8" s="23">
        <f>ROUNDUP(I8/'Параметры'!$C$11,0)</f>
        <v>4</v>
      </c>
    </row>
    <row r="9">
      <c r="A9" s="10" t="n">
        <v>5</v>
      </c>
      <c r="B9" s="9" t="inlineStr">
        <is>
          <t>БП-13</t>
        </is>
      </c>
      <c r="C9" s="12" t="inlineStr">
        <is>
          <t>№13</t>
        </is>
      </c>
      <c r="D9" s="9" t="inlineStr">
        <is>
          <t>5</t>
        </is>
      </c>
      <c r="E9" s="10" t="n">
        <v>7560</v>
      </c>
      <c r="F9" s="35" t="n">
        <v>1670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83.5</v>
      </c>
      <c r="J9" s="15">
        <f>ROUNDUP(I9/'Параметры'!$C$11,0)</f>
        <v>4</v>
      </c>
    </row>
    <row r="10">
      <c r="A10" s="18" t="n">
        <v>6</v>
      </c>
      <c r="B10" s="17" t="inlineStr">
        <is>
          <t>БП-13</t>
        </is>
      </c>
      <c r="C10" s="20" t="inlineStr">
        <is>
          <t>№13</t>
        </is>
      </c>
      <c r="D10" s="17" t="inlineStr">
        <is>
          <t>6</t>
        </is>
      </c>
      <c r="E10" s="18" t="n">
        <v>7560</v>
      </c>
      <c r="F10" s="36" t="n">
        <v>1670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83.5</v>
      </c>
      <c r="J10" s="23">
        <f>ROUNDUP(I10/'Параметры'!$C$11,0)</f>
        <v>4</v>
      </c>
    </row>
    <row r="11">
      <c r="A11" s="10" t="n">
        <v>7</v>
      </c>
      <c r="B11" s="9" t="inlineStr">
        <is>
          <t>БП-13</t>
        </is>
      </c>
      <c r="C11" s="12" t="inlineStr">
        <is>
          <t>№13</t>
        </is>
      </c>
      <c r="D11" s="9" t="inlineStr">
        <is>
          <t>7</t>
        </is>
      </c>
      <c r="E11" s="10" t="n">
        <v>7560</v>
      </c>
      <c r="F11" s="35" t="n">
        <v>1670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83.5</v>
      </c>
      <c r="J11" s="15">
        <f>ROUNDUP(I11/'Параметры'!$C$11,0)</f>
        <v>4</v>
      </c>
    </row>
    <row r="12">
      <c r="A12" s="18" t="n">
        <v>8</v>
      </c>
      <c r="B12" s="17" t="inlineStr">
        <is>
          <t>БП-13</t>
        </is>
      </c>
      <c r="C12" s="20" t="inlineStr">
        <is>
          <t>№13</t>
        </is>
      </c>
      <c r="D12" s="17" t="inlineStr">
        <is>
          <t>8</t>
        </is>
      </c>
      <c r="E12" s="18" t="n">
        <v>7560</v>
      </c>
      <c r="F12" s="36" t="n">
        <v>1670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83.5</v>
      </c>
      <c r="J12" s="23">
        <f>ROUNDUP(I12/'Параметры'!$C$11,0)</f>
        <v>4</v>
      </c>
    </row>
    <row r="13">
      <c r="A13" s="10" t="n">
        <v>9</v>
      </c>
      <c r="B13" s="9" t="inlineStr">
        <is>
          <t>БП-13</t>
        </is>
      </c>
      <c r="C13" s="12" t="inlineStr">
        <is>
          <t>№13</t>
        </is>
      </c>
      <c r="D13" s="9" t="inlineStr">
        <is>
          <t>9</t>
        </is>
      </c>
      <c r="E13" s="10" t="n">
        <v>7560</v>
      </c>
      <c r="F13" s="35" t="n">
        <v>1670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83.5</v>
      </c>
      <c r="J13" s="15">
        <f>ROUNDUP(I13/'Параметры'!$C$11,0)</f>
        <v>4</v>
      </c>
    </row>
    <row r="14">
      <c r="A14" s="18" t="n">
        <v>10</v>
      </c>
      <c r="B14" s="17" t="inlineStr">
        <is>
          <t>БП-13</t>
        </is>
      </c>
      <c r="C14" s="20" t="inlineStr">
        <is>
          <t>№13</t>
        </is>
      </c>
      <c r="D14" s="17" t="inlineStr">
        <is>
          <t>10</t>
        </is>
      </c>
      <c r="E14" s="18" t="n">
        <v>7560</v>
      </c>
      <c r="F14" s="36" t="n">
        <v>1670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83.5</v>
      </c>
      <c r="J14" s="23">
        <f>ROUNDUP(I14/'Параметры'!$C$11,0)</f>
        <v>4</v>
      </c>
    </row>
    <row r="15">
      <c r="A15" s="10" t="n">
        <v>11</v>
      </c>
      <c r="B15" s="9" t="inlineStr">
        <is>
          <t>БП-13</t>
        </is>
      </c>
      <c r="C15" s="12" t="inlineStr">
        <is>
          <t>№13</t>
        </is>
      </c>
      <c r="D15" s="9" t="inlineStr">
        <is>
          <t>11</t>
        </is>
      </c>
      <c r="E15" s="10" t="n">
        <v>7560</v>
      </c>
      <c r="F15" s="35" t="n">
        <v>1670</v>
      </c>
      <c r="G15" s="12" t="inlineStr">
        <is>
          <t>Фоснитацид</t>
        </is>
      </c>
      <c r="H15" s="13">
        <f>'Параметры'!$C$8</f>
        <v>10</v>
      </c>
      <c r="I15" s="14">
        <f>F15*'Параметры'!$C$9*'Параметры'!$C$10*'Параметры'!$C$8/100</f>
        <v>83.5</v>
      </c>
      <c r="J15" s="15">
        <f>ROUNDUP(I15/'Параметры'!$C$11,0)</f>
        <v>4</v>
      </c>
    </row>
    <row r="16">
      <c r="A16" s="18" t="n">
        <v>12</v>
      </c>
      <c r="B16" s="17" t="inlineStr">
        <is>
          <t>БП-13</t>
        </is>
      </c>
      <c r="C16" s="20" t="inlineStr">
        <is>
          <t>№13</t>
        </is>
      </c>
      <c r="D16" s="17" t="inlineStr">
        <is>
          <t>12</t>
        </is>
      </c>
      <c r="E16" s="18" t="n">
        <v>7560</v>
      </c>
      <c r="F16" s="36" t="n">
        <v>1670</v>
      </c>
      <c r="G16" s="20" t="inlineStr">
        <is>
          <t>Фоснитацид</t>
        </is>
      </c>
      <c r="H16" s="21">
        <f>'Параметры'!$C$8</f>
        <v>10</v>
      </c>
      <c r="I16" s="22">
        <f>F16*'Параметры'!$C$9*'Параметры'!$C$10*'Параметры'!$C$8/100</f>
        <v>83.5</v>
      </c>
      <c r="J16" s="23">
        <f>ROUNDUP(I16/'Параметры'!$C$11,0)</f>
        <v>4</v>
      </c>
    </row>
    <row r="17" ht="20" customHeight="1">
      <c r="A17" s="25" t="inlineStr">
        <is>
          <t>ИТОГО</t>
        </is>
      </c>
      <c r="B17" s="28" t="inlineStr"/>
      <c r="C17" s="28" t="inlineStr"/>
      <c r="D17" s="26">
        <f>COUNT(A5:A16)</f>
        <v>12</v>
      </c>
      <c r="E17" s="26">
        <f>SUM(E5:E16)</f>
        <v>90720</v>
      </c>
      <c r="F17" s="37">
        <f>SUM(F5:F16)</f>
        <v>20040</v>
      </c>
      <c r="G17" s="28" t="inlineStr"/>
      <c r="H17" s="28" t="inlineStr"/>
      <c r="I17" s="27">
        <f>SUM(I5:I16)</f>
        <v>1002</v>
      </c>
      <c r="J17" s="26">
        <f>SUM(J5:J16)</f>
        <v>48</v>
      </c>
    </row>
    <row r="19">
      <c r="A19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21">
      <c r="A21" s="38" t="inlineStr">
        <is>
          <t>Составил: ________________________</t>
        </is>
      </c>
      <c r="F21" s="38" t="inlineStr">
        <is>
          <t>Проверил: ________________________</t>
        </is>
      </c>
    </row>
  </sheetData>
  <mergeCells count="5">
    <mergeCell ref="A1:J1"/>
    <mergeCell ref="F21:J21"/>
    <mergeCell ref="A21:D21"/>
    <mergeCell ref="A2:J2"/>
    <mergeCell ref="A19:J19"/>
  </mergeCells>
  <pageMargins left="0.4" right="0.4" top="0.5" bottom="0.5" header="0.5" footer="0.5"/>
  <pageSetup orientation="portrait" paperSize="9" fitToHeight="0" fitToWidth="1"/>
  <headerFooter>
    <oddHeader/>
    <oddFooter>&amp;LПлощадка «БП-13» · Фоснитацид&amp;RСтр. &amp;P из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8" customWidth="1" min="4" max="4"/>
    <col width="9" customWidth="1" min="5" max="5"/>
    <col width="10" customWidth="1" min="6" max="6"/>
    <col width="15" customWidth="1" min="7" max="7"/>
    <col width="8" customWidth="1" min="8" max="8"/>
    <col width="11" customWidth="1" min="9" max="9"/>
    <col width="10" customWidth="1" min="10" max="10"/>
  </cols>
  <sheetData>
    <row r="1" ht="24" customHeight="1">
      <c r="A1" s="31" t="inlineStr">
        <is>
          <t>БРОЙЛЕРНАЯ ПЛОЩАДКА «БП-14»</t>
        </is>
      </c>
    </row>
    <row r="2" ht="16" customHeight="1">
      <c r="A2" s="32" t="inlineStr">
        <is>
          <t>Бройлерный участок №14   ·   Птичников: 12   ·   Дезсредство: Фоснитацид   ·   Концентрация раствора: 10 %   ·   Периодичность: 1 раз согласно графику санразрыва</t>
        </is>
      </c>
    </row>
    <row r="4" ht="42" customHeight="1">
      <c r="A4" s="8" t="inlineStr">
        <is>
          <t>№
п/п</t>
        </is>
      </c>
      <c r="B4" s="8" t="inlineStr">
        <is>
          <t>Пло­щадка</t>
        </is>
      </c>
      <c r="C4" s="8" t="inlineStr">
        <is>
          <t>Бройлер­ный
участок</t>
        </is>
      </c>
      <c r="D4" s="8" t="inlineStr">
        <is>
          <t>№
птични­ка</t>
        </is>
      </c>
      <c r="E4" s="8" t="inlineStr">
        <is>
          <t>Объём,
м³</t>
        </is>
      </c>
      <c r="F4" s="8" t="inlineStr">
        <is>
          <t>Площадь,
м²</t>
        </is>
      </c>
      <c r="G4" s="8" t="inlineStr">
        <is>
          <t>Наименование
дезсредства</t>
        </is>
      </c>
      <c r="H4" s="8" t="inlineStr">
        <is>
          <t>Кон­цен­тра­ция</t>
        </is>
      </c>
      <c r="I4" s="8" t="inlineStr">
        <is>
          <t>ТРЕБУЕТСЯ,
литров</t>
        </is>
      </c>
      <c r="J4" s="8" t="inlineStr">
        <is>
          <t>Канистр
по 23 л, шт</t>
        </is>
      </c>
    </row>
    <row r="5">
      <c r="A5" s="10" t="n">
        <v>1</v>
      </c>
      <c r="B5" s="9" t="inlineStr">
        <is>
          <t>БП-14</t>
        </is>
      </c>
      <c r="C5" s="12" t="inlineStr">
        <is>
          <t>№14</t>
        </is>
      </c>
      <c r="D5" s="9" t="inlineStr">
        <is>
          <t>1</t>
        </is>
      </c>
      <c r="E5" s="10" t="n">
        <v>7560</v>
      </c>
      <c r="F5" s="35" t="n">
        <v>1670</v>
      </c>
      <c r="G5" s="12" t="inlineStr">
        <is>
          <t>Фоснитацид</t>
        </is>
      </c>
      <c r="H5" s="13">
        <f>'Параметры'!$C$8</f>
        <v>10</v>
      </c>
      <c r="I5" s="14">
        <f>F5*'Параметры'!$C$9*'Параметры'!$C$10*'Параметры'!$C$8/100</f>
        <v>83.5</v>
      </c>
      <c r="J5" s="15">
        <f>ROUNDUP(I5/'Параметры'!$C$11,0)</f>
        <v>4</v>
      </c>
    </row>
    <row r="6">
      <c r="A6" s="18" t="n">
        <v>2</v>
      </c>
      <c r="B6" s="17" t="inlineStr">
        <is>
          <t>БП-14</t>
        </is>
      </c>
      <c r="C6" s="20" t="inlineStr">
        <is>
          <t>№14</t>
        </is>
      </c>
      <c r="D6" s="17" t="inlineStr">
        <is>
          <t>2</t>
        </is>
      </c>
      <c r="E6" s="18" t="n">
        <v>7560</v>
      </c>
      <c r="F6" s="36" t="n">
        <v>1670</v>
      </c>
      <c r="G6" s="20" t="inlineStr">
        <is>
          <t>Фоснитацид</t>
        </is>
      </c>
      <c r="H6" s="21">
        <f>'Параметры'!$C$8</f>
        <v>10</v>
      </c>
      <c r="I6" s="22">
        <f>F6*'Параметры'!$C$9*'Параметры'!$C$10*'Параметры'!$C$8/100</f>
        <v>83.5</v>
      </c>
      <c r="J6" s="23">
        <f>ROUNDUP(I6/'Параметры'!$C$11,0)</f>
        <v>4</v>
      </c>
    </row>
    <row r="7">
      <c r="A7" s="10" t="n">
        <v>3</v>
      </c>
      <c r="B7" s="9" t="inlineStr">
        <is>
          <t>БП-14</t>
        </is>
      </c>
      <c r="C7" s="12" t="inlineStr">
        <is>
          <t>№14</t>
        </is>
      </c>
      <c r="D7" s="9" t="inlineStr">
        <is>
          <t>3</t>
        </is>
      </c>
      <c r="E7" s="10" t="n">
        <v>7560</v>
      </c>
      <c r="F7" s="35" t="n">
        <v>1670</v>
      </c>
      <c r="G7" s="12" t="inlineStr">
        <is>
          <t>Фоснитацид</t>
        </is>
      </c>
      <c r="H7" s="13">
        <f>'Параметры'!$C$8</f>
        <v>10</v>
      </c>
      <c r="I7" s="14">
        <f>F7*'Параметры'!$C$9*'Параметры'!$C$10*'Параметры'!$C$8/100</f>
        <v>83.5</v>
      </c>
      <c r="J7" s="15">
        <f>ROUNDUP(I7/'Параметры'!$C$11,0)</f>
        <v>4</v>
      </c>
    </row>
    <row r="8">
      <c r="A8" s="18" t="n">
        <v>4</v>
      </c>
      <c r="B8" s="17" t="inlineStr">
        <is>
          <t>БП-14</t>
        </is>
      </c>
      <c r="C8" s="20" t="inlineStr">
        <is>
          <t>№14</t>
        </is>
      </c>
      <c r="D8" s="17" t="inlineStr">
        <is>
          <t>4</t>
        </is>
      </c>
      <c r="E8" s="18" t="n">
        <v>7560</v>
      </c>
      <c r="F8" s="36" t="n">
        <v>1670</v>
      </c>
      <c r="G8" s="20" t="inlineStr">
        <is>
          <t>Фоснитацид</t>
        </is>
      </c>
      <c r="H8" s="21">
        <f>'Параметры'!$C$8</f>
        <v>10</v>
      </c>
      <c r="I8" s="22">
        <f>F8*'Параметры'!$C$9*'Параметры'!$C$10*'Параметры'!$C$8/100</f>
        <v>83.5</v>
      </c>
      <c r="J8" s="23">
        <f>ROUNDUP(I8/'Параметры'!$C$11,0)</f>
        <v>4</v>
      </c>
    </row>
    <row r="9">
      <c r="A9" s="10" t="n">
        <v>5</v>
      </c>
      <c r="B9" s="9" t="inlineStr">
        <is>
          <t>БП-14</t>
        </is>
      </c>
      <c r="C9" s="12" t="inlineStr">
        <is>
          <t>№14</t>
        </is>
      </c>
      <c r="D9" s="9" t="inlineStr">
        <is>
          <t>5</t>
        </is>
      </c>
      <c r="E9" s="10" t="n">
        <v>7560</v>
      </c>
      <c r="F9" s="35" t="n">
        <v>1670</v>
      </c>
      <c r="G9" s="12" t="inlineStr">
        <is>
          <t>Фоснитацид</t>
        </is>
      </c>
      <c r="H9" s="13">
        <f>'Параметры'!$C$8</f>
        <v>10</v>
      </c>
      <c r="I9" s="14">
        <f>F9*'Параметры'!$C$9*'Параметры'!$C$10*'Параметры'!$C$8/100</f>
        <v>83.5</v>
      </c>
      <c r="J9" s="15">
        <f>ROUNDUP(I9/'Параметры'!$C$11,0)</f>
        <v>4</v>
      </c>
    </row>
    <row r="10">
      <c r="A10" s="18" t="n">
        <v>6</v>
      </c>
      <c r="B10" s="17" t="inlineStr">
        <is>
          <t>БП-14</t>
        </is>
      </c>
      <c r="C10" s="20" t="inlineStr">
        <is>
          <t>№14</t>
        </is>
      </c>
      <c r="D10" s="17" t="inlineStr">
        <is>
          <t>6</t>
        </is>
      </c>
      <c r="E10" s="18" t="n">
        <v>7560</v>
      </c>
      <c r="F10" s="36" t="n">
        <v>1670</v>
      </c>
      <c r="G10" s="20" t="inlineStr">
        <is>
          <t>Фоснитацид</t>
        </is>
      </c>
      <c r="H10" s="21">
        <f>'Параметры'!$C$8</f>
        <v>10</v>
      </c>
      <c r="I10" s="22">
        <f>F10*'Параметры'!$C$9*'Параметры'!$C$10*'Параметры'!$C$8/100</f>
        <v>83.5</v>
      </c>
      <c r="J10" s="23">
        <f>ROUNDUP(I10/'Параметры'!$C$11,0)</f>
        <v>4</v>
      </c>
    </row>
    <row r="11">
      <c r="A11" s="10" t="n">
        <v>7</v>
      </c>
      <c r="B11" s="9" t="inlineStr">
        <is>
          <t>БП-14</t>
        </is>
      </c>
      <c r="C11" s="12" t="inlineStr">
        <is>
          <t>№14</t>
        </is>
      </c>
      <c r="D11" s="9" t="inlineStr">
        <is>
          <t>7</t>
        </is>
      </c>
      <c r="E11" s="10" t="n">
        <v>7560</v>
      </c>
      <c r="F11" s="35" t="n">
        <v>1670</v>
      </c>
      <c r="G11" s="12" t="inlineStr">
        <is>
          <t>Фоснитацид</t>
        </is>
      </c>
      <c r="H11" s="13">
        <f>'Параметры'!$C$8</f>
        <v>10</v>
      </c>
      <c r="I11" s="14">
        <f>F11*'Параметры'!$C$9*'Параметры'!$C$10*'Параметры'!$C$8/100</f>
        <v>83.5</v>
      </c>
      <c r="J11" s="15">
        <f>ROUNDUP(I11/'Параметры'!$C$11,0)</f>
        <v>4</v>
      </c>
    </row>
    <row r="12">
      <c r="A12" s="18" t="n">
        <v>8</v>
      </c>
      <c r="B12" s="17" t="inlineStr">
        <is>
          <t>БП-14</t>
        </is>
      </c>
      <c r="C12" s="20" t="inlineStr">
        <is>
          <t>№14</t>
        </is>
      </c>
      <c r="D12" s="17" t="inlineStr">
        <is>
          <t>8</t>
        </is>
      </c>
      <c r="E12" s="18" t="n">
        <v>7560</v>
      </c>
      <c r="F12" s="36" t="n">
        <v>1670</v>
      </c>
      <c r="G12" s="20" t="inlineStr">
        <is>
          <t>Фоснитацид</t>
        </is>
      </c>
      <c r="H12" s="21">
        <f>'Параметры'!$C$8</f>
        <v>10</v>
      </c>
      <c r="I12" s="22">
        <f>F12*'Параметры'!$C$9*'Параметры'!$C$10*'Параметры'!$C$8/100</f>
        <v>83.5</v>
      </c>
      <c r="J12" s="23">
        <f>ROUNDUP(I12/'Параметры'!$C$11,0)</f>
        <v>4</v>
      </c>
    </row>
    <row r="13">
      <c r="A13" s="10" t="n">
        <v>9</v>
      </c>
      <c r="B13" s="9" t="inlineStr">
        <is>
          <t>БП-14</t>
        </is>
      </c>
      <c r="C13" s="12" t="inlineStr">
        <is>
          <t>№14</t>
        </is>
      </c>
      <c r="D13" s="9" t="inlineStr">
        <is>
          <t>9</t>
        </is>
      </c>
      <c r="E13" s="10" t="n">
        <v>7560</v>
      </c>
      <c r="F13" s="35" t="n">
        <v>1670</v>
      </c>
      <c r="G13" s="12" t="inlineStr">
        <is>
          <t>Фоснитацид</t>
        </is>
      </c>
      <c r="H13" s="13">
        <f>'Параметры'!$C$8</f>
        <v>10</v>
      </c>
      <c r="I13" s="14">
        <f>F13*'Параметры'!$C$9*'Параметры'!$C$10*'Параметры'!$C$8/100</f>
        <v>83.5</v>
      </c>
      <c r="J13" s="15">
        <f>ROUNDUP(I13/'Параметры'!$C$11,0)</f>
        <v>4</v>
      </c>
    </row>
    <row r="14">
      <c r="A14" s="18" t="n">
        <v>10</v>
      </c>
      <c r="B14" s="17" t="inlineStr">
        <is>
          <t>БП-14</t>
        </is>
      </c>
      <c r="C14" s="20" t="inlineStr">
        <is>
          <t>№14</t>
        </is>
      </c>
      <c r="D14" s="17" t="inlineStr">
        <is>
          <t>10</t>
        </is>
      </c>
      <c r="E14" s="18" t="n">
        <v>7560</v>
      </c>
      <c r="F14" s="36" t="n">
        <v>1670</v>
      </c>
      <c r="G14" s="20" t="inlineStr">
        <is>
          <t>Фоснитацид</t>
        </is>
      </c>
      <c r="H14" s="21">
        <f>'Параметры'!$C$8</f>
        <v>10</v>
      </c>
      <c r="I14" s="22">
        <f>F14*'Параметры'!$C$9*'Параметры'!$C$10*'Параметры'!$C$8/100</f>
        <v>83.5</v>
      </c>
      <c r="J14" s="23">
        <f>ROUNDUP(I14/'Параметры'!$C$11,0)</f>
        <v>4</v>
      </c>
    </row>
    <row r="15">
      <c r="A15" s="10" t="n">
        <v>11</v>
      </c>
      <c r="B15" s="9" t="inlineStr">
        <is>
          <t>БП-14</t>
        </is>
      </c>
      <c r="C15" s="12" t="inlineStr">
        <is>
          <t>№14</t>
        </is>
      </c>
      <c r="D15" s="9" t="inlineStr">
        <is>
          <t>11</t>
        </is>
      </c>
      <c r="E15" s="10" t="n">
        <v>7560</v>
      </c>
      <c r="F15" s="35" t="n">
        <v>1670</v>
      </c>
      <c r="G15" s="12" t="inlineStr">
        <is>
          <t>Фоснитацид</t>
        </is>
      </c>
      <c r="H15" s="13">
        <f>'Параметры'!$C$8</f>
        <v>10</v>
      </c>
      <c r="I15" s="14">
        <f>F15*'Параметры'!$C$9*'Параметры'!$C$10*'Параметры'!$C$8/100</f>
        <v>83.5</v>
      </c>
      <c r="J15" s="15">
        <f>ROUNDUP(I15/'Параметры'!$C$11,0)</f>
        <v>4</v>
      </c>
    </row>
    <row r="16">
      <c r="A16" s="18" t="n">
        <v>12</v>
      </c>
      <c r="B16" s="17" t="inlineStr">
        <is>
          <t>БП-14</t>
        </is>
      </c>
      <c r="C16" s="20" t="inlineStr">
        <is>
          <t>№14</t>
        </is>
      </c>
      <c r="D16" s="17" t="inlineStr">
        <is>
          <t>12</t>
        </is>
      </c>
      <c r="E16" s="18" t="n">
        <v>7560</v>
      </c>
      <c r="F16" s="36" t="n">
        <v>1670</v>
      </c>
      <c r="G16" s="20" t="inlineStr">
        <is>
          <t>Фоснитацид</t>
        </is>
      </c>
      <c r="H16" s="21">
        <f>'Параметры'!$C$8</f>
        <v>10</v>
      </c>
      <c r="I16" s="22">
        <f>F16*'Параметры'!$C$9*'Параметры'!$C$10*'Параметры'!$C$8/100</f>
        <v>83.5</v>
      </c>
      <c r="J16" s="23">
        <f>ROUNDUP(I16/'Параметры'!$C$11,0)</f>
        <v>4</v>
      </c>
    </row>
    <row r="17" ht="20" customHeight="1">
      <c r="A17" s="25" t="inlineStr">
        <is>
          <t>ИТОГО</t>
        </is>
      </c>
      <c r="B17" s="28" t="inlineStr"/>
      <c r="C17" s="28" t="inlineStr"/>
      <c r="D17" s="26">
        <f>COUNT(A5:A16)</f>
        <v>12</v>
      </c>
      <c r="E17" s="26">
        <f>SUM(E5:E16)</f>
        <v>90720</v>
      </c>
      <c r="F17" s="37">
        <f>SUM(F5:F16)</f>
        <v>20040</v>
      </c>
      <c r="G17" s="28" t="inlineStr"/>
      <c r="H17" s="28" t="inlineStr"/>
      <c r="I17" s="27">
        <f>SUM(I5:I16)</f>
        <v>1002</v>
      </c>
      <c r="J17" s="26">
        <f>SUM(J5:J16)</f>
        <v>48</v>
      </c>
    </row>
    <row r="19">
      <c r="A19" s="30" t="inlineStr">
        <is>
          <t>Расчёт: Площадь, м²  ×  0,5 л/м²  ×  10 %  =  требуется литров Фоснитацида.  Канистры округляются вверх (1 канистра = 23 л).</t>
        </is>
      </c>
    </row>
    <row r="21">
      <c r="A21" s="38" t="inlineStr">
        <is>
          <t>Составил: ________________________</t>
        </is>
      </c>
      <c r="F21" s="38" t="inlineStr">
        <is>
          <t>Проверил: ________________________</t>
        </is>
      </c>
    </row>
  </sheetData>
  <mergeCells count="5">
    <mergeCell ref="A1:J1"/>
    <mergeCell ref="F21:J21"/>
    <mergeCell ref="A21:D21"/>
    <mergeCell ref="A2:J2"/>
    <mergeCell ref="A19:J19"/>
  </mergeCells>
  <pageMargins left="0.4" right="0.4" top="0.5" bottom="0.5" header="0.5" footer="0.5"/>
  <pageSetup orientation="portrait" paperSize="9" fitToHeight="0" fitToWidth="1"/>
  <headerFooter>
    <oddHeader/>
    <oddFooter>&amp;LПлощадка «БП-14» · Фоснитацид&amp;RСтр. &amp;P из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64" customWidth="1" min="4" max="4"/>
  </cols>
  <sheetData>
    <row r="2">
      <c r="B2" s="1" t="inlineStr">
        <is>
          <t>ПАРАМЕТРЫ РАСЧЕТА</t>
        </is>
      </c>
    </row>
    <row r="3">
      <c r="B3" s="2" t="inlineStr">
        <is>
          <t>Меняйте только жёлтые ячейки — все листы пересчитаются сами.</t>
        </is>
      </c>
    </row>
    <row r="5" ht="22" customHeight="1">
      <c r="B5" s="8" t="inlineStr">
        <is>
          <t>Параметр</t>
        </is>
      </c>
      <c r="C5" s="8" t="inlineStr">
        <is>
          <t>Значение</t>
        </is>
      </c>
      <c r="D5" s="8" t="inlineStr">
        <is>
          <t>Пояснение</t>
        </is>
      </c>
    </row>
    <row r="6" ht="30" customHeight="1">
      <c r="B6" s="39" t="inlineStr">
        <is>
          <t>Наименование дезсредства</t>
        </is>
      </c>
      <c r="C6" s="40" t="inlineStr">
        <is>
          <t>Фоснитацид</t>
        </is>
      </c>
      <c r="D6" s="41" t="inlineStr">
        <is>
          <t>Наименование по заданию.</t>
        </is>
      </c>
    </row>
    <row r="7" ht="30" customHeight="1">
      <c r="B7" s="39" t="inlineStr">
        <is>
          <t>Способ обработки</t>
        </is>
      </c>
      <c r="C7" s="40" t="inlineStr">
        <is>
          <t>Мойка (влажная дезинфекция)</t>
        </is>
      </c>
      <c r="D7" s="41" t="inlineStr">
        <is>
          <t>Подтверждено заказчиком.</t>
        </is>
      </c>
    </row>
    <row r="8" ht="30" customHeight="1">
      <c r="B8" s="39" t="inlineStr">
        <is>
          <t>Концентрация раствора, %</t>
        </is>
      </c>
      <c r="C8" s="42" t="n">
        <v>10</v>
      </c>
      <c r="D8" s="41" t="inlineStr">
        <is>
          <t>10-процентный рабочий раствор.</t>
        </is>
      </c>
    </row>
    <row r="9" ht="30" customHeight="1">
      <c r="B9" s="39" t="inlineStr">
        <is>
          <t>Норма расхода раствора, л/м²</t>
        </is>
      </c>
      <c r="C9" s="43" t="n">
        <v>0.5</v>
      </c>
      <c r="D9" s="41" t="inlineStr">
        <is>
          <t>Типовая норма мойки по гладким поверхностям. Для шероховатого бетона и кирпича — 1,0 л/м². См. лист «Сценарии».</t>
        </is>
      </c>
    </row>
    <row r="10" ht="30" customHeight="1">
      <c r="B10" s="39" t="inlineStr">
        <is>
          <t>Кратность обработки</t>
        </is>
      </c>
      <c r="C10" s="44" t="n">
        <v>1</v>
      </c>
      <c r="D10" s="41" t="inlineStr">
        <is>
          <t>1 = один раз за санразрыв.</t>
        </is>
      </c>
    </row>
    <row r="11" ht="30" customHeight="1">
      <c r="B11" s="39" t="inlineStr">
        <is>
          <t>Объём канистры, л</t>
        </is>
      </c>
      <c r="C11" s="42" t="n">
        <v>23</v>
      </c>
      <c r="D11" s="41" t="inlineStr">
        <is>
          <t>1 канистра = 23 л концентрата.</t>
        </is>
      </c>
    </row>
    <row r="12" ht="30" customHeight="1">
      <c r="B12" s="39" t="inlineStr">
        <is>
          <t>Выдаётся сейчас на корпус, канистр</t>
        </is>
      </c>
      <c r="C12" s="42" t="n">
        <v>1</v>
      </c>
      <c r="D12" s="41" t="inlineStr">
        <is>
          <t>Действующая практика — 1 канистра на любой корпус.</t>
        </is>
      </c>
    </row>
    <row r="15">
      <c r="B15" s="45" t="inlineStr">
        <is>
          <t>КАК СЧИТАЕТСЯ (пример: птичник 1 680 м²)</t>
        </is>
      </c>
    </row>
    <row r="16">
      <c r="B16" s="46" t="inlineStr">
        <is>
          <t>Шаг 1.  Раствор:      1 680 м² × 0,5 л/м²   =  840 л раствора</t>
        </is>
      </c>
    </row>
    <row r="17">
      <c r="B17" s="46" t="inlineStr">
        <is>
          <t>Шаг 2.  Фоснитацид:   840 л × 10 %          =  84 л  (+ 756 л воды)</t>
        </is>
      </c>
    </row>
    <row r="18">
      <c r="B18" s="46" t="inlineStr">
        <is>
          <t>Шаг 3.  Канистры:     84 л ÷ 23 л = 3,65    →  4 канистры (вверх)</t>
        </is>
      </c>
    </row>
  </sheetData>
  <mergeCells count="3">
    <mergeCell ref="B17:D17"/>
    <mergeCell ref="B18:D18"/>
    <mergeCell ref="B16:D1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8" customWidth="1" min="4" max="4"/>
    <col width="14" customWidth="1" min="5" max="5"/>
    <col width="14" customWidth="1" min="6" max="6"/>
    <col width="48" customWidth="1" min="7" max="7"/>
  </cols>
  <sheetData>
    <row r="2">
      <c r="B2" s="1" t="inlineStr">
        <is>
          <t>СЦЕНАРИИ НОРМ РАСХОДА</t>
        </is>
      </c>
    </row>
    <row r="3">
      <c r="B3" s="2" t="inlineStr">
        <is>
          <t>Способ обработки — мойка. Рабочий диапазон норм 0,3–1,0 л/м².</t>
        </is>
      </c>
    </row>
    <row r="5" ht="34" customHeight="1">
      <c r="B5" s="8" t="inlineStr">
        <is>
          <t>Норма, л/м²</t>
        </is>
      </c>
      <c r="C5" s="8" t="inlineStr">
        <is>
          <t>Раствор всего, л</t>
        </is>
      </c>
      <c r="D5" s="8" t="inlineStr">
        <is>
          <t>Требуется всего, л</t>
        </is>
      </c>
      <c r="E5" s="8" t="inlineStr">
        <is>
          <t>Канистр</t>
        </is>
      </c>
      <c r="F5" s="8" t="inlineStr">
        <is>
          <t>Сейчас, канистр</t>
        </is>
      </c>
      <c r="G5" s="8" t="inlineStr">
        <is>
          <t>Комментарий</t>
        </is>
      </c>
    </row>
    <row r="6" ht="20" customHeight="1">
      <c r="B6" s="47" t="n">
        <v>0.15</v>
      </c>
      <c r="C6" s="10">
        <f>177729.15999999997*B6*'Параметры'!$C$10</f>
        <v>26659.373999999996</v>
      </c>
      <c r="D6" s="10">
        <f>C6*'Параметры'!$C$8/100</f>
        <v>2665.9374</v>
      </c>
      <c r="E6" s="10" t="n">
        <v>177</v>
      </c>
      <c r="F6" s="10">
        <f>122*'Параметры'!$C$12</f>
        <v>122</v>
      </c>
      <c r="G6" s="29" t="inlineStr">
        <is>
          <t>Соответствует текущей выдаче 1 канистры. Аэрозольный режим — НЕ ваш случай</t>
        </is>
      </c>
    </row>
    <row r="7" ht="20" customHeight="1">
      <c r="B7" s="47" t="n">
        <v>0.3</v>
      </c>
      <c r="C7" s="10">
        <f>177729.15999999997*B7*'Параметры'!$C$10</f>
        <v>53318.74799999999</v>
      </c>
      <c r="D7" s="10">
        <f>C7*'Параметры'!$C$8/100</f>
        <v>5331.8748</v>
      </c>
      <c r="E7" s="10" t="n">
        <v>299</v>
      </c>
      <c r="F7" s="10">
        <f>122*'Параметры'!$C$12</f>
        <v>122</v>
      </c>
      <c r="G7" s="29" t="inlineStr">
        <is>
          <t>Мойка, минимальный режим</t>
        </is>
      </c>
    </row>
    <row r="8" ht="20" customHeight="1">
      <c r="B8" s="48" t="n">
        <v>0.5</v>
      </c>
      <c r="C8" s="49">
        <f>177729.15999999997*B8*'Параметры'!$C$10</f>
        <v>88864.57999999999</v>
      </c>
      <c r="D8" s="49">
        <f>C8*'Параметры'!$C$8/100</f>
        <v>8886.457999999999</v>
      </c>
      <c r="E8" s="49" t="n">
        <v>453</v>
      </c>
      <c r="F8" s="49">
        <f>122*'Параметры'!$C$12</f>
        <v>122</v>
      </c>
      <c r="G8" s="50" t="inlineStr">
        <is>
          <t>МОЙКА, гладкие поверхности — ПРИНЯТО В РАСЧЁТЕ</t>
        </is>
      </c>
    </row>
    <row r="9" ht="20" customHeight="1">
      <c r="B9" s="47" t="n">
        <v>0.75</v>
      </c>
      <c r="C9" s="10">
        <f>177729.15999999997*B9*'Параметры'!$C$10</f>
        <v>133296.87</v>
      </c>
      <c r="D9" s="10">
        <f>C9*'Параметры'!$C$8/100</f>
        <v>13329.687</v>
      </c>
      <c r="E9" s="10" t="n">
        <v>630</v>
      </c>
      <c r="F9" s="10">
        <f>122*'Параметры'!$C$12</f>
        <v>122</v>
      </c>
      <c r="G9" s="29" t="inlineStr">
        <is>
          <t>Мойка, промежуточный режим</t>
        </is>
      </c>
    </row>
    <row r="10" ht="20" customHeight="1">
      <c r="B10" s="47" t="n">
        <v>1</v>
      </c>
      <c r="C10" s="10">
        <f>177729.15999999997*B10*'Параметры'!$C$10</f>
        <v>177729.15999999997</v>
      </c>
      <c r="D10" s="10">
        <f>C10*'Параметры'!$C$8/100</f>
        <v>17772.915999999997</v>
      </c>
      <c r="E10" s="10" t="n">
        <v>836</v>
      </c>
      <c r="F10" s="10">
        <f>122*'Параметры'!$C$12</f>
        <v>122</v>
      </c>
      <c r="G10" s="29" t="inlineStr">
        <is>
          <t>Мойка шероховатых поверхностей (бетон, кирпич)</t>
        </is>
      </c>
    </row>
    <row r="12">
      <c r="B12" s="30" t="inlineStr">
        <is>
          <t>Текущая выдача 23 л на птичник соответствует норме всего 0,158 л/м² — втрое ниже минимального режима мойки. Столбец «Канистр» здесь считается для справки и не пересчитывается от «Параметров».</t>
        </is>
      </c>
    </row>
    <row r="13"/>
    <row r="14"/>
  </sheetData>
  <mergeCells count="1">
    <mergeCell ref="B12:G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2026-09-14T10:10:26Z</dcterms:created>
  <dcterms:modified xsi:type="dcterms:W3CDTF">2026-09-14T10:10:26Z</dcterms:modified>
</cp:coreProperties>
</file>