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50" t="n"/>
      <c r="K4" s="51" t="n"/>
    </row>
    <row r="5" ht="28" customHeight="1">
      <c r="A5" s="52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0">
        <f>E8/12</f>
        <v>120000</v>
      </c>
      <c r="E8" s="11">
        <f>'Инкубаторий'!C5</f>
        <v>1440000</v>
      </c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51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51" t="n"/>
      <c r="D10" s="10">
        <f>E10/12</f>
        <v>40000</v>
      </c>
      <c r="E10" s="11">
        <f>'Склад ТМЦ'!C5</f>
        <v>480000</v>
      </c>
      <c r="F10" s="13" t="inlineStr">
        <is>
          <t>нормы не заданы</t>
        </is>
      </c>
      <c r="G10" s="51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51" t="n"/>
      <c r="D11" s="13" t="inlineStr">
        <is>
          <t>нет в КП</t>
        </is>
      </c>
      <c r="E11" s="51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РАСХОДНИКИ</t>
        </is>
      </c>
      <c r="B12" s="17">
        <f>C12/12</f>
        <v>4136300</v>
      </c>
      <c r="C12" s="17">
        <f>SUM(C6:C11)</f>
        <v>49635600</v>
      </c>
      <c r="D12" s="17">
        <f>E12/12</f>
        <v>3312500</v>
      </c>
      <c r="E12" s="17">
        <f>SUM(E6:E11)</f>
        <v>39750000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ПОДРЯДЧИКИ НА СОПОСТАВИМОЙ БАЗЕ — ЦЕНЫ PEST HUNTERS ПРИВЕДЕНЫ К НДС</t>
        </is>
      </c>
      <c r="B14" s="19" t="n"/>
      <c r="C14" s="19" t="n"/>
      <c r="D14" s="19" t="n"/>
      <c r="E14" s="19" t="n"/>
    </row>
    <row r="15" ht="30" customHeight="1">
      <c r="A15" s="7" t="inlineStr">
        <is>
          <t>Объект</t>
        </is>
      </c>
      <c r="B15" s="8" t="inlineStr">
        <is>
          <t>Indigo, ₸/год (с НДС)</t>
        </is>
      </c>
      <c r="C15" s="8" t="inlineStr">
        <is>
          <t>Pest Hunters, ₸/год (с НДС 16 %)</t>
        </is>
      </c>
      <c r="D15" s="8" t="inlineStr">
        <is>
          <t>Дешевле</t>
        </is>
      </c>
      <c r="E15" s="8" t="inlineStr">
        <is>
          <t>Разница, ₸/год</t>
        </is>
      </c>
    </row>
    <row r="16">
      <c r="A16" s="9" t="inlineStr">
        <is>
          <t>ККЗ</t>
        </is>
      </c>
      <c r="B16" s="10">
        <f>C6</f>
        <v>1159200</v>
      </c>
      <c r="C16" s="10">
        <f>E6*(1+Данные!$B$63)</f>
        <v>1044000</v>
      </c>
      <c r="D16" s="20" t="str">
        <f>IF(B16&lt;C16,"Indigo","Pest Hunters")</f>
        <v>Pest Hunters</v>
      </c>
      <c r="E16" s="11">
        <f>ABS(B16-C16)</f>
        <v>115200</v>
      </c>
    </row>
    <row r="17">
      <c r="A17" s="9" t="inlineStr">
        <is>
          <t>Бройлерные площадки</t>
        </is>
      </c>
      <c r="B17" s="10">
        <f>C7</f>
        <v>45447600</v>
      </c>
      <c r="C17" s="10">
        <f>E7*(1+Данные!$B$63)</f>
        <v>40333200</v>
      </c>
      <c r="D17" s="20" t="str">
        <f>IF(B17&lt;C17,"Indigo","Pest Hunters")</f>
        <v>Pest Hunters</v>
      </c>
      <c r="E17" s="11">
        <f>ABS(B17-C17)</f>
        <v>5114400</v>
      </c>
    </row>
    <row r="18">
      <c r="A18" s="9" t="inlineStr">
        <is>
          <t>Инкубаторий</t>
        </is>
      </c>
      <c r="B18" s="10">
        <f>C8</f>
        <v>1514400</v>
      </c>
      <c r="C18" s="10">
        <f>E8*(1+Данные!$B$63)</f>
        <v>1670400</v>
      </c>
      <c r="D18" s="20" t="str">
        <f>IF(B18&lt;C18,"Indigo","Pest Hunters")</f>
        <v>Indigo</v>
      </c>
      <c r="E18" s="11">
        <f>ABS(B18-C18)</f>
        <v>156000</v>
      </c>
    </row>
    <row r="19">
      <c r="A19" s="9" t="inlineStr">
        <is>
          <t>ЗПП</t>
        </is>
      </c>
      <c r="B19" s="10">
        <f>C9</f>
        <v>1514400</v>
      </c>
      <c r="C19" s="10">
        <f>E9</f>
        <v>2160000</v>
      </c>
      <c r="D19" s="20" t="str">
        <f>IF(B19&lt;C19,"Indigo","Pest Hunters")</f>
        <v>Indigo</v>
      </c>
      <c r="E19" s="11">
        <f>ABS(B19-C19)</f>
        <v>645600</v>
      </c>
    </row>
    <row r="20">
      <c r="A20" s="9" t="inlineStr">
        <is>
          <t>Склад ТМЦ</t>
        </is>
      </c>
      <c r="B20" s="21" t="inlineStr">
        <is>
          <t>нет в КП</t>
        </is>
      </c>
      <c r="C20" s="10">
        <f>E10*(1+Данные!$B$63)</f>
        <v>556800</v>
      </c>
      <c r="D20" s="20" t="inlineStr">
        <is>
          <t>Pest Hunters</t>
        </is>
      </c>
      <c r="E20" s="21" t="inlineStr">
        <is>
          <t>—</t>
        </is>
      </c>
    </row>
    <row r="21" ht="46" customHeight="1">
      <c r="A21" s="22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22"/>
    <row r="23">
      <c r="A23" s="18" t="inlineStr">
        <is>
          <t>РАЗНИЦА С СОБСТВЕННЫМ ШТАТОМ</t>
        </is>
      </c>
      <c r="B23" s="19" t="n"/>
      <c r="C23" s="19" t="n"/>
      <c r="D23" s="19" t="n"/>
    </row>
    <row r="24">
      <c r="A24" s="23" t="inlineStr">
        <is>
          <t>Показатель</t>
        </is>
      </c>
      <c r="B24" s="24" t="inlineStr">
        <is>
          <t>в месяц</t>
        </is>
      </c>
      <c r="C24" s="24" t="inlineStr">
        <is>
          <t>за год</t>
        </is>
      </c>
      <c r="D24" s="24" t="inlineStr">
        <is>
          <t>во сколько раз</t>
        </is>
      </c>
    </row>
    <row r="25">
      <c r="A25" s="9" t="inlineStr">
        <is>
          <t>Indigo Solutions дороже штата</t>
        </is>
      </c>
      <c r="B25" s="10">
        <f>C25/12</f>
        <v>2003553.062</v>
      </c>
      <c r="C25" s="11">
        <f>C12-(G12+Данные!$B$13*Данные!$B$12*12)</f>
        <v>24042636.75</v>
      </c>
      <c r="D25" s="53">
        <f>IF((G12+Данные!$B$13*Данные!$B$12*12)=0,0,C12/(G12+Данные!$B$13*Данные!$B$12*12))</f>
        <v>1.93942372</v>
      </c>
    </row>
    <row r="26">
      <c r="A26" s="9" t="inlineStr">
        <is>
          <t>Pest Hunters дороже штата</t>
        </is>
      </c>
      <c r="B26" s="10">
        <f>C26/12</f>
        <v>1179753.062</v>
      </c>
      <c r="C26" s="11">
        <f>E12-(G12+Данные!$B$13*Данные!$B$12*12)</f>
        <v>14157036.75</v>
      </c>
      <c r="D26" s="53">
        <f>IF((G12+Данные!$B$13*Данные!$B$12*12)=0,0,E12/(G12+Данные!$B$13*Данные!$B$12*12))</f>
        <v>1.553161297</v>
      </c>
    </row>
    <row r="27">
      <c r="A27" s="2" t="inlineStr">
        <is>
          <t>Штат посчитан вместе с ФОТ (расходники + зарплата), КП подрядчиков — как есть.</t>
        </is>
      </c>
    </row>
    <row r="28"/>
    <row r="29">
      <c r="A29" s="18" t="inlineStr">
        <is>
          <t>ШТАТ УКПФ · ПОЛНАЯ РАСШИФРОВКА</t>
        </is>
      </c>
      <c r="B29" s="19" t="n"/>
      <c r="C29" s="19" t="n"/>
      <c r="D29" s="19" t="n"/>
      <c r="E29" s="19" t="n"/>
      <c r="F29" s="19" t="n"/>
      <c r="G29" s="19" t="n"/>
    </row>
    <row r="30">
      <c r="A30" s="26" t="inlineStr">
        <is>
          <t>Статья</t>
        </is>
      </c>
      <c r="B30" s="6" t="inlineStr">
        <is>
          <t>Количество</t>
        </is>
      </c>
      <c r="C30" s="6" t="inlineStr">
        <is>
          <t>Ед. изм.</t>
        </is>
      </c>
      <c r="D30" s="6" t="inlineStr">
        <is>
          <t>Цена за ед., ₸</t>
        </is>
      </c>
      <c r="E30" s="6" t="inlineStr">
        <is>
          <t>в месяц, ₸</t>
        </is>
      </c>
      <c r="F30" s="6" t="inlineStr">
        <is>
          <t>за год, ₸</t>
        </is>
      </c>
    </row>
    <row r="31">
      <c r="A31" s="9" t="inlineStr">
        <is>
          <t>Численность штата</t>
        </is>
      </c>
      <c r="B31" s="10">
        <f>Данные!$B$13</f>
        <v>5</v>
      </c>
      <c r="C31" s="27" t="inlineStr">
        <is>
          <t>чел.</t>
        </is>
      </c>
      <c r="D31" s="5" t="n"/>
      <c r="E31" s="5" t="n"/>
      <c r="F31" s="5" t="n"/>
    </row>
    <row r="32">
      <c r="A32" s="9" t="inlineStr">
        <is>
          <t>Оклад одного дератизатора</t>
        </is>
      </c>
      <c r="B32" s="5" t="n"/>
      <c r="C32" s="27" t="inlineStr">
        <is>
          <t>₸/мес</t>
        </is>
      </c>
      <c r="D32" s="10">
        <f>Данные!$B$12</f>
        <v>350000</v>
      </c>
      <c r="E32" s="5" t="n"/>
      <c r="F32" s="5" t="n"/>
    </row>
    <row r="33">
      <c r="A33" s="9" t="inlineStr">
        <is>
          <t>Фонд оплаты труда</t>
        </is>
      </c>
      <c r="B33" s="10">
        <f>Данные!$B$13</f>
        <v>5</v>
      </c>
      <c r="C33" s="27" t="inlineStr">
        <is>
          <t>чел.</t>
        </is>
      </c>
      <c r="D33" s="10">
        <f>Данные!$B$12</f>
        <v>350000</v>
      </c>
      <c r="E33" s="10">
        <f>Данные!$B$13*Данные!$B$12</f>
        <v>1750000</v>
      </c>
      <c r="F33" s="11">
        <f>Данные!$B$13*Данные!$B$12*12</f>
        <v>21000000</v>
      </c>
    </row>
    <row r="34">
      <c r="A34" s="9" t="inlineStr">
        <is>
          <t>Приманочные станции 1-го и 2-го контура · разовая закупка</t>
        </is>
      </c>
      <c r="B34" s="10">
        <f>Данные!$B$32+Данные!$C$32</f>
        <v>1377</v>
      </c>
      <c r="C34" s="27" t="inlineStr">
        <is>
          <t>шт</t>
        </is>
      </c>
      <c r="D34" s="10">
        <f>Данные!$B$9</f>
        <v>2160</v>
      </c>
      <c r="E34" s="5" t="n"/>
      <c r="F34" s="11">
        <f>(Данные!$B$32+Данные!$C$32)*Данные!$B$9</f>
        <v>2974320</v>
      </c>
    </row>
    <row r="35">
      <c r="A35" s="9" t="inlineStr">
        <is>
          <t>Клеевые станции 3-го контура · апрель — октябрь</t>
        </is>
      </c>
      <c r="B35" s="10">
        <f>Данные!$D$32</f>
        <v>343</v>
      </c>
      <c r="C35" s="27" t="inlineStr">
        <is>
          <t>шт/мес</t>
        </is>
      </c>
      <c r="D35" s="10">
        <f>Данные!$B$8</f>
        <v>160</v>
      </c>
      <c r="E35" s="10">
        <f>Данные!$D$32*Данные!$B$8</f>
        <v>54880</v>
      </c>
      <c r="F35" s="11">
        <f>Данные!$D$32*Данные!$B$8*Данные!$B$14</f>
        <v>384160</v>
      </c>
    </row>
    <row r="36">
      <c r="A36" s="9" t="inlineStr">
        <is>
          <t>Клеевые станции 3-го контура · ноябрь — март, объём вдвое</t>
        </is>
      </c>
      <c r="B36" s="10">
        <f>Данные!$D$32*2</f>
        <v>686</v>
      </c>
      <c r="C36" s="27" t="inlineStr">
        <is>
          <t>шт/мес</t>
        </is>
      </c>
      <c r="D36" s="10">
        <f>Данные!$B$8</f>
        <v>160</v>
      </c>
      <c r="E36" s="10">
        <f>Данные!$D$32*2*Данные!$B$8</f>
        <v>109760</v>
      </c>
      <c r="F36" s="11">
        <f>Данные!$D$32*2*Данные!$B$8*Данные!$B$15</f>
        <v>548800</v>
      </c>
    </row>
    <row r="37">
      <c r="A37" s="9" t="inlineStr">
        <is>
          <t>Зерноцид · 2-й контур, тёплый сезон</t>
        </is>
      </c>
      <c r="B37" s="10">
        <f>Данные!$G$32</f>
        <v>16</v>
      </c>
      <c r="C37" s="27" t="inlineStr">
        <is>
          <t>кг/мес</t>
        </is>
      </c>
      <c r="D37" s="10">
        <f>Данные!$B$6</f>
        <v>740</v>
      </c>
      <c r="E37" s="10">
        <f>Данные!$G$32*Данные!$B$6</f>
        <v>11840</v>
      </c>
      <c r="F37" s="11">
        <f>Данные!$G$32*Данные!$B$6*Данные!$B$14</f>
        <v>82880</v>
      </c>
    </row>
    <row r="38">
      <c r="A38" s="9" t="inlineStr">
        <is>
          <t>Pest Killer, брикеты · заряжаются в станции 2-го контура</t>
        </is>
      </c>
      <c r="B38" s="10">
        <f>Данные!$F$32</f>
        <v>20.3</v>
      </c>
      <c r="C38" s="27" t="inlineStr">
        <is>
          <t>кг/мес</t>
        </is>
      </c>
      <c r="D38" s="10">
        <f>Данные!$B$7</f>
        <v>3642.5</v>
      </c>
      <c r="E38" s="10">
        <f>Данные!$F$32*Данные!$B$7</f>
        <v>73942.75</v>
      </c>
      <c r="F38" s="11">
        <f>Данные!$F$32*Данные!$B$7*Данные!$B$14</f>
        <v>517599.25</v>
      </c>
    </row>
    <row r="39">
      <c r="A39" s="9" t="inlineStr">
        <is>
          <t xml:space="preserve">   в том числе станций 2-го контура, которые заряжаются</t>
        </is>
      </c>
      <c r="B39" s="10">
        <f>Данные!$C$32</f>
        <v>1198</v>
      </c>
      <c r="C39" s="27" t="inlineStr">
        <is>
          <t>шт</t>
        </is>
      </c>
      <c r="D39" s="5" t="n"/>
      <c r="E39" s="5" t="n"/>
      <c r="F39" s="5" t="n"/>
    </row>
    <row r="40">
      <c r="A40" s="9" t="inlineStr">
        <is>
          <t xml:space="preserve">   расход брикетов на одну станцию 2-го контура</t>
        </is>
      </c>
      <c r="B40" s="54">
        <f>Данные!$F$32/Данные!$C$32</f>
        <v>0.01694490818</v>
      </c>
      <c r="C40" s="27" t="inlineStr">
        <is>
          <t>кг/мес</t>
        </is>
      </c>
      <c r="D40" s="5" t="n"/>
      <c r="E40" s="5" t="n"/>
      <c r="F40" s="5" t="n"/>
    </row>
    <row r="41">
      <c r="A41" s="9" t="inlineStr">
        <is>
          <t>Бутылки, 1-й контур · тёплый сезон</t>
        </is>
      </c>
      <c r="B41" s="10">
        <f>Данные!$B$32</f>
        <v>179</v>
      </c>
      <c r="C41" s="27" t="inlineStr">
        <is>
          <t>шт/мес</t>
        </is>
      </c>
      <c r="D41" s="10">
        <f>Данные!$B$10</f>
        <v>68</v>
      </c>
      <c r="E41" s="10">
        <f>Данные!$B$32*Данные!$B$10</f>
        <v>12172</v>
      </c>
      <c r="F41" s="11">
        <f>Данные!$B$32*Данные!$B$10*Данные!$B$14</f>
        <v>85204</v>
      </c>
    </row>
    <row r="42">
      <c r="A42" s="14" t="inlineStr">
        <is>
          <t>ИТОГО ШТАТ УКПФ, ПЕРВЫЙ ГОД (с разовой закупкой станций)</t>
        </is>
      </c>
      <c r="B42" s="29" t="n"/>
      <c r="C42" s="29" t="n"/>
      <c r="D42" s="29" t="n"/>
      <c r="E42" s="17">
        <f>F42/12</f>
        <v>2132746.938</v>
      </c>
      <c r="F42" s="17">
        <f>F33+F34+F35+F36+F37+F38+F41</f>
        <v>25592963.25</v>
      </c>
    </row>
    <row r="43" ht="26" customHeight="1">
      <c r="A43" s="22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44"/>
    <row r="45">
      <c r="A45" s="18" t="inlineStr">
        <is>
          <t>СКИДКИ INDIGO ИЗ КП ОТ 19.08.2026</t>
        </is>
      </c>
      <c r="B45" s="19" t="n"/>
      <c r="C45" s="19" t="n"/>
      <c r="D45" s="19" t="n"/>
      <c r="E45" s="19" t="n"/>
      <c r="F45" s="19" t="n"/>
      <c r="G45" s="19" t="n"/>
    </row>
    <row r="46">
      <c r="A46" s="23" t="inlineStr">
        <is>
          <t>Условие</t>
        </is>
      </c>
      <c r="B46" s="24" t="inlineStr">
        <is>
          <t>в месяц</t>
        </is>
      </c>
      <c r="C46" s="24" t="inlineStr">
        <is>
          <t>за год</t>
        </is>
      </c>
      <c r="D46" s="24" t="inlineStr">
        <is>
          <t>Ставка</t>
        </is>
      </c>
    </row>
    <row r="47">
      <c r="A47" s="9" t="inlineStr">
        <is>
          <t>Цена КП без скидок</t>
        </is>
      </c>
      <c r="B47" s="10">
        <f>C47/12</f>
        <v>4136300</v>
      </c>
      <c r="C47" s="11">
        <f>C12</f>
        <v>49635600</v>
      </c>
      <c r="D47" s="5" t="n"/>
    </row>
    <row r="48">
      <c r="A48" s="9" t="inlineStr">
        <is>
          <t>Вся территория фабрики</t>
        </is>
      </c>
      <c r="B48" s="10">
        <f>C48/12</f>
        <v>3515855</v>
      </c>
      <c r="C48" s="11">
        <f>C12*(1-Данные!$B$67)</f>
        <v>42190260</v>
      </c>
      <c r="D48" s="55">
        <f>Данные!$B$67</f>
        <v>0.15</v>
      </c>
    </row>
    <row r="49">
      <c r="A49" s="9" t="inlineStr">
        <is>
          <t>Вся территория + 100 % предоплата</t>
        </is>
      </c>
      <c r="B49" s="10">
        <f>C49/12</f>
        <v>2988476.75</v>
      </c>
      <c r="C49" s="11">
        <f>C12*(1-Данные!$B$67)*(1-Данные!$B$68)</f>
        <v>35861721</v>
      </c>
      <c r="D49" s="55">
        <f>Данные!$B$68</f>
        <v>0.15</v>
      </c>
    </row>
    <row r="50">
      <c r="A50" s="9" t="inlineStr">
        <is>
          <t>Вся территория + предоплата + неплательщик НДС</t>
        </is>
      </c>
      <c r="B50" s="10">
        <f>C50/12</f>
        <v>2510320.47</v>
      </c>
      <c r="C50" s="11">
        <f>C12*(1-Данные!$B$67)*(1-Данные!$B$68)*(1-Данные!$B$69)</f>
        <v>30123845.64</v>
      </c>
      <c r="D50" s="55">
        <f>Данные!$B$69</f>
        <v>0.16</v>
      </c>
    </row>
    <row r="51"/>
    <row r="52">
      <c r="A52" s="18" t="inlineStr">
        <is>
          <t>ПЕРИОДИЧНОСТЬ ОБХОДОВ</t>
        </is>
      </c>
      <c r="B52" s="19" t="n"/>
      <c r="C52" s="19" t="n"/>
      <c r="D52" s="19" t="n"/>
      <c r="E52" s="19" t="n"/>
      <c r="F52" s="19" t="n"/>
      <c r="G52" s="19" t="n"/>
    </row>
    <row r="53">
      <c r="A53" s="31" t="inlineStr">
        <is>
          <t>Вариант</t>
        </is>
      </c>
      <c r="B53" s="31" t="inlineStr">
        <is>
          <t>Объект</t>
        </is>
      </c>
      <c r="C53" s="31" t="inlineStr">
        <is>
          <t>Обходов в месяц</t>
        </is>
      </c>
      <c r="D53" s="31" t="inlineStr">
        <is>
          <t>Что зафиксировано в документах</t>
        </is>
      </c>
    </row>
    <row r="54">
      <c r="A54" s="9" t="inlineStr">
        <is>
          <t>Indigo Solutions</t>
        </is>
      </c>
      <c r="B54" s="9" t="inlineStr">
        <is>
          <t>все объекты</t>
        </is>
      </c>
      <c r="C54" s="27" t="inlineStr">
        <is>
          <t>в КП не указана</t>
        </is>
      </c>
      <c r="D54" s="32" t="inlineStr">
        <is>
          <t>ответ по заявке ≤ 2 ч, выезд ≤ 24 ч, вызовы без ограничений</t>
        </is>
      </c>
      <c r="E54" s="50" t="n"/>
      <c r="F54" s="50" t="n"/>
      <c r="G54" s="51" t="n"/>
    </row>
    <row r="55">
      <c r="A55" s="9" t="inlineStr">
        <is>
          <t>Pest Hunters</t>
        </is>
      </c>
      <c r="B55" s="9" t="inlineStr">
        <is>
          <t>ККЗ</t>
        </is>
      </c>
      <c r="C55" s="27" t="n">
        <v>1</v>
      </c>
      <c r="D55" s="32" t="inlineStr">
        <is>
          <t>выезд по запросу</t>
        </is>
      </c>
      <c r="E55" s="50" t="n"/>
      <c r="F55" s="50" t="n"/>
      <c r="G55" s="51" t="n"/>
    </row>
    <row r="56">
      <c r="A56" s="9" t="inlineStr">
        <is>
          <t>Pest Hunters</t>
        </is>
      </c>
      <c r="B56" s="9" t="inlineStr">
        <is>
          <t>бройлерные площадки</t>
        </is>
      </c>
      <c r="C56" s="27" t="n">
        <v>1</v>
      </c>
      <c r="D56" s="32" t="inlineStr">
        <is>
          <t>дополнительные визиты по вызову</t>
        </is>
      </c>
      <c r="E56" s="50" t="n"/>
      <c r="F56" s="50" t="n"/>
      <c r="G56" s="51" t="n"/>
    </row>
    <row r="57">
      <c r="A57" s="9" t="inlineStr">
        <is>
          <t>Pest Hunters</t>
        </is>
      </c>
      <c r="B57" s="9" t="inlineStr">
        <is>
          <t>инкубаторий</t>
        </is>
      </c>
      <c r="C57" s="27" t="n">
        <v>2</v>
      </c>
      <c r="D57" s="32" t="inlineStr">
        <is>
          <t>КП №26/75: ежемесячно 2 раза</t>
        </is>
      </c>
      <c r="E57" s="50" t="n"/>
      <c r="F57" s="50" t="n"/>
      <c r="G57" s="51" t="n"/>
    </row>
    <row r="58">
      <c r="A58" s="9" t="inlineStr">
        <is>
          <t>Pest Hunters</t>
        </is>
      </c>
      <c r="B58" s="9" t="inlineStr">
        <is>
          <t>ЗПП</t>
        </is>
      </c>
      <c r="C58" s="27" t="n">
        <v>3</v>
      </c>
      <c r="D58" s="32" t="inlineStr">
        <is>
          <t>по графику на 2026 год, бригада из трёх человек</t>
        </is>
      </c>
      <c r="E58" s="50" t="n"/>
      <c r="F58" s="50" t="n"/>
      <c r="G58" s="51" t="n"/>
    </row>
    <row r="59">
      <c r="A59" s="9" t="inlineStr">
        <is>
          <t>Pest Hunters</t>
        </is>
      </c>
      <c r="B59" s="9" t="inlineStr">
        <is>
          <t>склад ТМЦ</t>
        </is>
      </c>
      <c r="C59" s="27" t="n">
        <v>2</v>
      </c>
      <c r="D59" s="32" t="inlineStr">
        <is>
          <t>КП №26/75: ежемесячно 2 раза (по договору №921 был 1 обход)</t>
        </is>
      </c>
      <c r="E59" s="50" t="n"/>
      <c r="F59" s="50" t="n"/>
      <c r="G59" s="51" t="n"/>
    </row>
    <row r="60">
      <c r="A60" s="9" t="inlineStr">
        <is>
          <t>Штат УКПФ</t>
        </is>
      </c>
      <c r="B60" s="9" t="inlineStr">
        <is>
          <t>все объекты</t>
        </is>
      </c>
      <c r="C60" s="27" t="n">
        <v>8</v>
      </c>
      <c r="D60" s="32" t="inlineStr">
        <is>
          <t>присутствие 5/2, реакция в тот же день</t>
        </is>
      </c>
      <c r="E60" s="50" t="n"/>
      <c r="F60" s="50" t="n"/>
      <c r="G60" s="51" t="n"/>
    </row>
  </sheetData>
  <mergeCells count="20">
    <mergeCell ref="F4:G4"/>
    <mergeCell ref="D56:G56"/>
    <mergeCell ref="F10:G10"/>
    <mergeCell ref="D58:G58"/>
    <mergeCell ref="D55:G55"/>
    <mergeCell ref="A43:G43"/>
    <mergeCell ref="D54:G54"/>
    <mergeCell ref="D59:G59"/>
    <mergeCell ref="B11:C11"/>
    <mergeCell ref="D11:E11"/>
    <mergeCell ref="D60:G60"/>
    <mergeCell ref="I4:K4"/>
    <mergeCell ref="A4:A5"/>
    <mergeCell ref="B10:C10"/>
    <mergeCell ref="D4:E4"/>
    <mergeCell ref="D57:G57"/>
    <mergeCell ref="F9:G9"/>
    <mergeCell ref="A21:G21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2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10">
        <f>B20*C20</f>
        <v>840000</v>
      </c>
    </row>
    <row r="21"/>
    <row r="22" ht="26" customHeight="1">
      <c r="A22" s="22" t="inlineStr">
        <is>
          <t>Зерноцид по ККЗ в нормах не заявлен, поэтому строка Зерноцида даёт ноль.</t>
        </is>
      </c>
    </row>
    <row r="23" ht="26" customHeight="1">
      <c r="A23" s="22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2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Данные!$B$54</f>
        <v>3172000</v>
      </c>
      <c r="C12" s="37">
        <f>Данные!$B$64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Данные!$B$55</f>
        <v>2074000</v>
      </c>
      <c r="C13" s="37">
        <f>Данные!$B$65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11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3" t="inlineStr">
        <is>
          <t>Статья</t>
        </is>
      </c>
      <c r="B22" s="24" t="inlineStr">
        <is>
          <t>Цена в месяц, ₸</t>
        </is>
      </c>
      <c r="C22" s="24" t="inlineStr">
        <is>
          <t>Месяцев</t>
        </is>
      </c>
      <c r="D22" s="24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10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10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10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Данные!$B$56</f>
        <v>2806000</v>
      </c>
      <c r="C26" s="37">
        <f>Данные!$B$64</f>
        <v>9</v>
      </c>
      <c r="D26" s="10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Данные!$B$57</f>
        <v>1830000</v>
      </c>
      <c r="C27" s="37">
        <f>Данные!$B$65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3" t="inlineStr">
        <is>
          <t>Статья</t>
        </is>
      </c>
      <c r="B30" s="24" t="inlineStr">
        <is>
          <t>Цена в месяц, ₸</t>
        </is>
      </c>
      <c r="C30" s="24" t="inlineStr">
        <is>
          <t>Месяцев</t>
        </is>
      </c>
      <c r="D30" s="24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10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10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10">
        <f>B33*C33</f>
        <v>36000000</v>
      </c>
    </row>
    <row r="34"/>
    <row r="35" ht="26" customHeight="1">
      <c r="A35" s="22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18" t="inlineStr">
        <is>
          <t>КОНТУР 1 И КОНТУР 2 ПО ПЛОЩАДКАМ, шт</t>
        </is>
      </c>
      <c r="B38" s="19" t="n"/>
      <c r="C38" s="19" t="n"/>
      <c r="D38" s="19" t="n"/>
    </row>
    <row r="39">
      <c r="A39" s="23" t="inlineStr">
        <is>
          <t>Площадка</t>
        </is>
      </c>
      <c r="B39" s="24" t="inlineStr">
        <is>
          <t>1-й контур</t>
        </is>
      </c>
      <c r="C39" s="24" t="inlineStr">
        <is>
          <t>2-й контур</t>
        </is>
      </c>
    </row>
    <row r="40">
      <c r="A40" s="9" t="inlineStr">
        <is>
          <t>Площадка А</t>
        </is>
      </c>
      <c r="B40" s="38">
        <f>Данные!$B$22</f>
        <v>13</v>
      </c>
      <c r="C40" s="38">
        <f>Данные!$C$22</f>
        <v>147</v>
      </c>
    </row>
    <row r="41">
      <c r="A41" s="9" t="inlineStr">
        <is>
          <t>Площадка Б</t>
        </is>
      </c>
      <c r="B41" s="38">
        <f>Данные!$B$23</f>
        <v>17</v>
      </c>
      <c r="C41" s="38">
        <f>Данные!$C$23</f>
        <v>146</v>
      </c>
    </row>
    <row r="42">
      <c r="A42" s="9" t="inlineStr">
        <is>
          <t>В / Восточка</t>
        </is>
      </c>
      <c r="B42" s="38">
        <f>Данные!$B$24</f>
        <v>50</v>
      </c>
      <c r="C42" s="38">
        <f>Данные!$C$24</f>
        <v>239</v>
      </c>
    </row>
    <row r="43">
      <c r="A43" s="9" t="inlineStr">
        <is>
          <t>Площадка Г</t>
        </is>
      </c>
      <c r="B43" s="38">
        <f>Данные!$B$25</f>
        <v>17</v>
      </c>
      <c r="C43" s="38">
        <f>Данные!$C$25</f>
        <v>88</v>
      </c>
    </row>
    <row r="44">
      <c r="A44" s="9" t="inlineStr">
        <is>
          <t>Площадка Д</t>
        </is>
      </c>
      <c r="B44" s="38">
        <f>Данные!$B$26</f>
        <v>15</v>
      </c>
      <c r="C44" s="38">
        <f>Данные!$C$26</f>
        <v>69</v>
      </c>
    </row>
    <row r="45">
      <c r="A45" s="9" t="inlineStr">
        <is>
          <t>Площадка Е</t>
        </is>
      </c>
      <c r="B45" s="38">
        <f>Данные!$B$27</f>
        <v>13</v>
      </c>
      <c r="C45" s="38">
        <f>Данные!$C$27</f>
        <v>147</v>
      </c>
    </row>
    <row r="46">
      <c r="A46" s="9" t="inlineStr">
        <is>
          <t>Площадка Ж</t>
        </is>
      </c>
      <c r="B46" s="38">
        <f>Данные!$B$28</f>
        <v>17</v>
      </c>
      <c r="C46" s="38">
        <f>Данные!$C$28</f>
        <v>73</v>
      </c>
    </row>
    <row r="47">
      <c r="A47" s="9" t="inlineStr">
        <is>
          <t>Айыртау</t>
        </is>
      </c>
      <c r="B47" s="38">
        <f>Данные!$B$29</f>
        <v>19</v>
      </c>
      <c r="C47" s="38">
        <f>Данные!$C$29</f>
        <v>187</v>
      </c>
    </row>
    <row r="48">
      <c r="A48" s="39" t="inlineStr">
        <is>
          <t>Итого по площадкам</t>
        </is>
      </c>
      <c r="B48" s="40">
        <f>SUM(B40:B47)</f>
        <v>161</v>
      </c>
      <c r="C48" s="40">
        <f>SUM(C40:C47)</f>
        <v>1096</v>
      </c>
    </row>
    <row r="49"/>
    <row r="50">
      <c r="A50" s="18" t="inlineStr">
        <is>
          <t>ШТАТ УКПФ ПО БРОЙЛЕРНЫМ ПЛОЩАДКАМ — ДЕТАЛЬНАЯ РАСШИФРОВКА</t>
        </is>
      </c>
      <c r="B50" s="19" t="n"/>
      <c r="C50" s="19" t="n"/>
      <c r="D50" s="19" t="n"/>
    </row>
    <row r="51">
      <c r="A51" s="26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9" t="n"/>
      <c r="C59" s="29" t="n"/>
      <c r="D59" s="17">
        <f>SUM(D52:D58)</f>
        <v>4031873.5</v>
      </c>
    </row>
    <row r="60"/>
    <row r="61" ht="26" customHeight="1">
      <c r="A61" s="22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2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1440000</v>
      </c>
      <c r="D5" s="35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КП №26/75, 2 обхода в месяц, без НДС</t>
        </is>
      </c>
      <c r="B10" s="37">
        <f>Данные!$B$59</f>
        <v>120000</v>
      </c>
      <c r="C10" s="37" t="n">
        <v>12</v>
      </c>
      <c r="D10" s="11">
        <f>B10*C10</f>
        <v>1440000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АЛЬТЕРНАТИВНЫЕ ВАРИАНТЫ И ПРИВЕДЕНИЕ К НДС</t>
        </is>
      </c>
      <c r="B18" s="19" t="n"/>
      <c r="C18" s="19" t="n"/>
      <c r="D18" s="19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10">
        <f>B20*C20</f>
        <v>1281600</v>
      </c>
    </row>
    <row r="21">
      <c r="A21" s="36" t="inlineStr">
        <is>
          <t>Pest Hunters · та же цена, приведённая к НДС для сопоставимости с Indigo</t>
        </is>
      </c>
      <c r="B21" s="37">
        <f>Данные!$B$59*(1+Данные!$B$63)</f>
        <v>139200</v>
      </c>
      <c r="C21" s="37" t="n">
        <v>12</v>
      </c>
      <c r="D21" s="10">
        <f>B21*C21</f>
        <v>1670400</v>
      </c>
    </row>
    <row r="22"/>
    <row r="23">
      <c r="A23" s="18" t="inlineStr">
        <is>
          <t>СПРАВОЧНО: ДЕЗИНСЕКЦИЯ — В СРАВНЕНИЕ НЕ ВХОДИТ</t>
        </is>
      </c>
      <c r="B23" s="19" t="n"/>
      <c r="C23" s="19" t="n"/>
      <c r="D23" s="19" t="n"/>
    </row>
    <row r="24">
      <c r="A24" s="23" t="inlineStr">
        <is>
          <t>Статья</t>
        </is>
      </c>
      <c r="B24" s="24" t="inlineStr">
        <is>
          <t>Цена в месяц, ₸</t>
        </is>
      </c>
      <c r="C24" s="24" t="inlineStr">
        <is>
          <t>Месяцев</t>
        </is>
      </c>
      <c r="D24" s="24" t="inlineStr">
        <is>
          <t>За год, ₸</t>
        </is>
      </c>
    </row>
    <row r="25">
      <c r="A25" s="36" t="inlineStr">
        <is>
          <t>Indigo Solutions · дезинсекция</t>
        </is>
      </c>
      <c r="B25" s="37">
        <f>Данные!$B$50</f>
        <v>100800</v>
      </c>
      <c r="C25" s="37" t="n">
        <v>12</v>
      </c>
      <c r="D25" s="10">
        <f>B25*C25</f>
        <v>1209600</v>
      </c>
    </row>
    <row r="26">
      <c r="A26" s="36" t="inlineStr">
        <is>
          <t>Pest Hunters · дезинсекция, КП №26/75, без НДС</t>
        </is>
      </c>
      <c r="B26" s="37">
        <f>Данные!$B$60</f>
        <v>100000</v>
      </c>
      <c r="C26" s="37" t="n">
        <v>12</v>
      </c>
      <c r="D26" s="10">
        <f>B26*C26</f>
        <v>1200000</v>
      </c>
    </row>
    <row r="27"/>
    <row r="28" ht="26" customHeight="1">
      <c r="A28" s="22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22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2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Данные!$B$58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10">
        <f>B19*C19</f>
        <v>1929600</v>
      </c>
    </row>
    <row r="20"/>
    <row r="21" ht="26" customHeight="1">
      <c r="A21" s="22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2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2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480000</v>
      </c>
      <c r="D5" s="35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КП №26/75, только дератизация, 2 обхода в месяц</t>
        </is>
      </c>
      <c r="B10" s="37">
        <f>Данные!$B$61</f>
        <v>40000</v>
      </c>
      <c r="C10" s="37" t="n">
        <v>12</v>
      </c>
      <c r="D10" s="11">
        <f>B10*C10</f>
        <v>480000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8" t="inlineStr">
        <is>
          <t>СПРАВОЧНО: ДЕЗИНСЕКЦИЯ — В СРАВНЕНИЕ НЕ ВХОДИТ</t>
        </is>
      </c>
      <c r="B13" s="19" t="n"/>
      <c r="C13" s="19" t="n"/>
      <c r="D13" s="19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Pest Hunters · дезинсекция, КП №26/75</t>
        </is>
      </c>
      <c r="B15" s="37">
        <f>Данные!$B$62</f>
        <v>40000</v>
      </c>
      <c r="C15" s="37" t="n">
        <v>12</v>
      </c>
      <c r="D15" s="10">
        <f>B15*C15</f>
        <v>480000</v>
      </c>
    </row>
    <row r="16"/>
    <row r="17">
      <c r="A17" s="18" t="inlineStr">
        <is>
          <t>СПРАВОЧНО: ДЕЙСТВУЮЩИЙ ДОГОВОР №921</t>
        </is>
      </c>
      <c r="B17" s="19" t="n"/>
      <c r="C17" s="19" t="n"/>
      <c r="D17" s="19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7" t="n">
        <v>80000</v>
      </c>
      <c r="C19" s="37">
        <f>Данные!$B$66</f>
        <v>9</v>
      </c>
      <c r="D19" s="10">
        <f>B19*C19</f>
        <v>720000</v>
      </c>
    </row>
    <row r="20"/>
    <row r="21" ht="26" customHeight="1">
      <c r="A21" s="22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22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2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11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11">
        <f>B16*C16</f>
        <v>0</v>
      </c>
    </row>
    <row r="17"/>
    <row r="18" ht="26" customHeight="1">
      <c r="A18" s="22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2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41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6">
        <f>Данные!$B$19+Данные!$C$19</f>
        <v>29</v>
      </c>
      <c r="C13" s="10">
        <f>B13*Данные!$B$9</f>
        <v>62640</v>
      </c>
      <c r="D13" s="56">
        <f>Данные!$D$19</f>
        <v>0</v>
      </c>
      <c r="E13" s="56">
        <f>Данные!$D$19*2</f>
        <v>0</v>
      </c>
      <c r="F13" s="10">
        <f>D13*Данные!$B$8*Данные!$B$14+E13*Данные!$B$8*Данные!$B$15</f>
        <v>0</v>
      </c>
      <c r="G13" s="57">
        <f>Данные!$G$19</f>
        <v>0</v>
      </c>
      <c r="H13" s="10">
        <f>G13*Данные!$B$6*Данные!$B$14</f>
        <v>0</v>
      </c>
      <c r="I13" s="57">
        <f>Данные!$F$19</f>
        <v>1</v>
      </c>
      <c r="J13" s="10">
        <f>I13*Данные!$B$7*Данные!$B$14</f>
        <v>25497.5</v>
      </c>
      <c r="K13" s="56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6">
        <f>SUM(Данные!$B$22:$B$29)+SUM(Данные!$C$22:$C$29)</f>
        <v>1257</v>
      </c>
      <c r="C14" s="10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10">
        <f>D14*Данные!$B$8*Данные!$B$14+E14*Данные!$B$8*Данные!$B$15</f>
        <v>728960</v>
      </c>
      <c r="G14" s="57">
        <f>SUM(Данные!$G$22:$G$29)</f>
        <v>15</v>
      </c>
      <c r="H14" s="10">
        <f>G14*Данные!$B$6*Данные!$B$14</f>
        <v>77700</v>
      </c>
      <c r="I14" s="57">
        <f>SUM(Данные!$F$22:$F$29)</f>
        <v>17</v>
      </c>
      <c r="J14" s="10">
        <f>I14*Данные!$B$7*Данные!$B$14</f>
        <v>433457.5</v>
      </c>
      <c r="K14" s="56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6">
        <f>Данные!$B$20+Данные!$C$20</f>
        <v>52</v>
      </c>
      <c r="C15" s="10">
        <f>B15*Данные!$B$9</f>
        <v>112320</v>
      </c>
      <c r="D15" s="56">
        <f>Данные!$D$20</f>
        <v>12</v>
      </c>
      <c r="E15" s="56">
        <f>Данные!$D$20*2</f>
        <v>24</v>
      </c>
      <c r="F15" s="10">
        <f>D15*Данные!$B$8*Данные!$B$14+E15*Данные!$B$8*Данные!$B$15</f>
        <v>32640</v>
      </c>
      <c r="G15" s="57">
        <f>Данные!$G$20</f>
        <v>1</v>
      </c>
      <c r="H15" s="10">
        <f>G15*Данные!$B$6*Данные!$B$14</f>
        <v>5180</v>
      </c>
      <c r="I15" s="57">
        <f>Данные!$F$20</f>
        <v>1</v>
      </c>
      <c r="J15" s="10">
        <f>I15*Данные!$B$7*Данные!$B$14</f>
        <v>25497.5</v>
      </c>
      <c r="K15" s="56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6">
        <f>Данные!$B$21+Данные!$C$21</f>
        <v>39</v>
      </c>
      <c r="C16" s="10">
        <f>B16*Данные!$B$9</f>
        <v>84240</v>
      </c>
      <c r="D16" s="56">
        <f>Данные!$D$21</f>
        <v>63</v>
      </c>
      <c r="E16" s="56">
        <f>Данные!$D$21*2</f>
        <v>126</v>
      </c>
      <c r="F16" s="10">
        <f>D16*Данные!$B$8*Данные!$B$14+E16*Данные!$B$8*Данные!$B$15</f>
        <v>171360</v>
      </c>
      <c r="G16" s="57">
        <f>Данные!$G$21</f>
        <v>0</v>
      </c>
      <c r="H16" s="10">
        <f>G16*Данные!$B$6*Данные!$B$14</f>
        <v>0</v>
      </c>
      <c r="I16" s="57">
        <f>Данные!$F$21</f>
        <v>1.3</v>
      </c>
      <c r="J16" s="10">
        <f>I16*Данные!$B$7*Данные!$B$14</f>
        <v>33146.75</v>
      </c>
      <c r="K16" s="56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9" t="inlineStr">
        <is>
          <t>МАТЕРИАЛЫ, ПЕРВЫЙ ГОД ИТОГО (с разовой закупкой станций)</t>
        </is>
      </c>
      <c r="B17" s="29" t="n"/>
      <c r="C17" s="44">
        <f>SUM(C13:C16)</f>
        <v>2974320</v>
      </c>
      <c r="D17" s="29" t="n"/>
      <c r="E17" s="29" t="n"/>
      <c r="F17" s="44">
        <f>SUM(F13:F16)</f>
        <v>932960</v>
      </c>
      <c r="G17" s="58">
        <f>SUM(G13:G16)</f>
        <v>16</v>
      </c>
      <c r="H17" s="44">
        <f>SUM(H13:H16)</f>
        <v>82880</v>
      </c>
      <c r="I17" s="58">
        <f>SUM(I13:I16)</f>
        <v>20.3</v>
      </c>
      <c r="J17" s="44">
        <f>SUM(J13:J16)</f>
        <v>517599.25</v>
      </c>
      <c r="K17" s="29" t="n"/>
      <c r="L17" s="44">
        <f>SUM(L13:L16)</f>
        <v>85204</v>
      </c>
      <c r="M17" s="44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2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6" t="n">
        <v>740</v>
      </c>
      <c r="C6" s="9" t="inlineStr">
        <is>
          <t>₸/кг</t>
        </is>
      </c>
      <c r="H6" s="47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6" t="n">
        <v>3642.5</v>
      </c>
      <c r="C7" s="9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6" t="n">
        <v>160</v>
      </c>
      <c r="C8" s="9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6" t="n">
        <v>2160</v>
      </c>
      <c r="C9" s="9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6" t="n">
        <v>68</v>
      </c>
      <c r="C10" s="9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6" t="n">
        <v>258488</v>
      </c>
      <c r="C11" s="9" t="inlineStr">
        <is>
          <t>₸/мес</t>
        </is>
      </c>
      <c r="H11" s="47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6" t="n">
        <v>350000</v>
      </c>
      <c r="C12" s="9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6" t="n">
        <v>5</v>
      </c>
      <c r="C13" s="9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6" t="n">
        <v>7</v>
      </c>
      <c r="C14" s="9" t="inlineStr">
        <is>
          <t>мес.</t>
        </is>
      </c>
      <c r="H14" s="47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6" t="n">
        <v>5</v>
      </c>
      <c r="C15" s="9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10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10">
        <f>SUM(B20:D20)</f>
        <v>18</v>
      </c>
      <c r="F20" s="59" t="n">
        <v>1</v>
      </c>
      <c r="G20" s="59" t="n">
        <v>1</v>
      </c>
      <c r="H20" s="47" t="inlineStr"/>
    </row>
    <row r="21">
      <c r="A21" s="9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10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10">
        <f>SUM(B22:D22)</f>
        <v>13</v>
      </c>
      <c r="F22" s="59" t="n">
        <v>2</v>
      </c>
      <c r="G22" s="59" t="n">
        <v>2</v>
      </c>
      <c r="H22" s="47" t="inlineStr"/>
    </row>
    <row r="23">
      <c r="A23" s="9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10">
        <f>SUM(B23:D23)</f>
        <v>17</v>
      </c>
      <c r="F23" s="59" t="n">
        <v>2</v>
      </c>
      <c r="G23" s="59" t="n">
        <v>2</v>
      </c>
      <c r="H23" s="47" t="inlineStr"/>
    </row>
    <row r="24">
      <c r="A24" s="9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10">
        <f>SUM(B24:D24)</f>
        <v>50</v>
      </c>
      <c r="F24" s="59" t="n">
        <v>3.5</v>
      </c>
      <c r="G24" s="59" t="n">
        <v>3</v>
      </c>
      <c r="H24" s="47" t="inlineStr"/>
    </row>
    <row r="25">
      <c r="A25" s="9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10">
        <f>SUM(B25:D25)</f>
        <v>17</v>
      </c>
      <c r="F25" s="59" t="n">
        <v>2</v>
      </c>
      <c r="G25" s="59" t="n">
        <v>1</v>
      </c>
      <c r="H25" s="47" t="inlineStr"/>
    </row>
    <row r="26">
      <c r="A26" s="9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10">
        <f>SUM(B26:D26)</f>
        <v>15</v>
      </c>
      <c r="F26" s="59" t="n">
        <v>1.5</v>
      </c>
      <c r="G26" s="59" t="n">
        <v>1</v>
      </c>
      <c r="H26" s="47" t="inlineStr"/>
    </row>
    <row r="27">
      <c r="A27" s="9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10">
        <f>SUM(B27:D27)</f>
        <v>13</v>
      </c>
      <c r="F27" s="59" t="n">
        <v>2</v>
      </c>
      <c r="G27" s="59" t="n">
        <v>2</v>
      </c>
      <c r="H27" s="47" t="inlineStr"/>
    </row>
    <row r="28">
      <c r="A28" s="9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10">
        <f>SUM(B28:D28)</f>
        <v>17</v>
      </c>
      <c r="F28" s="59" t="n">
        <v>1</v>
      </c>
      <c r="G28" s="59" t="n">
        <v>1</v>
      </c>
      <c r="H28" s="47" t="inlineStr"/>
    </row>
    <row r="29">
      <c r="A29" s="9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10">
        <f>SUM(B29:D29)</f>
        <v>19</v>
      </c>
      <c r="F29" s="59" t="n">
        <v>3</v>
      </c>
      <c r="G29" s="59" t="n">
        <v>3</v>
      </c>
      <c r="H29" s="47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7" t="n"/>
      <c r="G30" s="57" t="n"/>
      <c r="H30" s="47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7" t="n"/>
      <c r="G31" s="57" t="n"/>
      <c r="H31" s="47" t="inlineStr">
        <is>
          <t>нормы расхода не заданы</t>
        </is>
      </c>
    </row>
    <row r="32">
      <c r="A32" s="39" t="inlineStr">
        <is>
          <t>ИТОГО ПО ФАБРИКЕ</t>
        </is>
      </c>
      <c r="B32" s="44">
        <f>SUM(B19:B31)</f>
        <v>179</v>
      </c>
      <c r="C32" s="44">
        <f>SUM(C19:C31)</f>
        <v>1198</v>
      </c>
      <c r="D32" s="44">
        <f>SUM(D19:D31)</f>
        <v>343</v>
      </c>
      <c r="E32" s="44">
        <f>SUM(E19:E31)</f>
        <v>179</v>
      </c>
      <c r="F32" s="58">
        <f>SUM(F19:F31)</f>
        <v>20.3</v>
      </c>
      <c r="G32" s="58">
        <f>SUM(G19:G31)</f>
        <v>16</v>
      </c>
      <c r="H32" s="29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31" t="inlineStr">
        <is>
          <t>Позиция</t>
        </is>
      </c>
      <c r="B35" s="31" t="inlineStr">
        <is>
          <t>Значение</t>
        </is>
      </c>
      <c r="C35" s="31" t="inlineStr">
        <is>
          <t>Ед. изм.</t>
        </is>
      </c>
      <c r="D35" s="31" t="inlineStr"/>
      <c r="E35" s="31" t="inlineStr"/>
      <c r="F35" s="31" t="inlineStr"/>
      <c r="G35" s="31" t="inlineStr"/>
      <c r="H35" s="31" t="inlineStr">
        <is>
          <t>Источник</t>
        </is>
      </c>
    </row>
    <row r="36">
      <c r="A36" s="9" t="inlineStr">
        <is>
          <t>Indigo · ККЗ, дератизация</t>
        </is>
      </c>
      <c r="B36" s="46" t="n">
        <v>96600</v>
      </c>
      <c r="C36" s="9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6" t="n">
        <v>618400</v>
      </c>
      <c r="C37" s="9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6" t="n">
        <v>478400</v>
      </c>
      <c r="C38" s="9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6" t="n">
        <v>569800</v>
      </c>
      <c r="C39" s="9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6" t="n">
        <v>440700</v>
      </c>
      <c r="C40" s="9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6" t="n">
        <v>2599100</v>
      </c>
      <c r="C41" s="9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6" t="n">
        <v>2010300</v>
      </c>
      <c r="C42" s="9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6" t="n">
        <v>126200</v>
      </c>
      <c r="C43" s="9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6" t="n">
        <v>106800</v>
      </c>
      <c r="C44" s="9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6" t="n">
        <v>126200</v>
      </c>
      <c r="C45" s="9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6" t="n">
        <v>106800</v>
      </c>
      <c r="C46" s="9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6" t="n">
        <v>720000</v>
      </c>
      <c r="C47" s="9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6" t="n">
        <v>1080000</v>
      </c>
      <c r="C48" s="9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6" t="n">
        <v>3000000</v>
      </c>
      <c r="C49" s="9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6" t="n">
        <v>100800</v>
      </c>
      <c r="C50" s="9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6" t="n">
        <v>160800</v>
      </c>
      <c r="C51" s="9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6" t="n">
        <v>75000</v>
      </c>
      <c r="C52" s="9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6" t="n">
        <v>70000</v>
      </c>
      <c r="C53" s="9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6" t="n">
        <v>3172000</v>
      </c>
      <c r="C54" s="9" t="inlineStr">
        <is>
          <t>₸/мес</t>
        </is>
      </c>
      <c r="H54" s="47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6" t="n">
        <v>2074000</v>
      </c>
      <c r="C55" s="9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6" t="n">
        <v>2806000</v>
      </c>
      <c r="C56" s="9" t="inlineStr">
        <is>
          <t>₸/мес</t>
        </is>
      </c>
      <c r="H56" s="47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6" t="n">
        <v>1830000</v>
      </c>
      <c r="C57" s="9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6" t="n">
        <v>180000</v>
      </c>
      <c r="C58" s="9" t="inlineStr">
        <is>
          <t>₸/мес</t>
        </is>
      </c>
      <c r="H58" s="47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Инкубаторий, дератизация</t>
        </is>
      </c>
      <c r="B59" s="46" t="n">
        <v>120000</v>
      </c>
      <c r="C59" s="9" t="inlineStr">
        <is>
          <t>₸/мес</t>
        </is>
      </c>
      <c r="H59" s="47" t="inlineStr">
        <is>
          <t>Pest Hunters, КП №26/75 на 2026–2027 (без НДС); ежемесячно 2 раза, с. Акимовка</t>
        </is>
      </c>
    </row>
    <row r="60">
      <c r="A60" s="9" t="inlineStr">
        <is>
          <t>Pest Hunters · Инкубаторий, дезинсекция</t>
        </is>
      </c>
      <c r="B60" s="46" t="n">
        <v>100000</v>
      </c>
      <c r="C60" s="9" t="inlineStr">
        <is>
          <t>₸/мес</t>
        </is>
      </c>
      <c r="H60" s="47" t="inlineStr">
        <is>
          <t>Pest Hunters, КП №26/75 на 2026–2027 (без НДС); ежемесячно 2 раза</t>
        </is>
      </c>
    </row>
    <row r="61">
      <c r="A61" s="9" t="inlineStr">
        <is>
          <t>Pest Hunters · склад ТМЦ, дератизация</t>
        </is>
      </c>
      <c r="B61" s="46" t="n">
        <v>40000</v>
      </c>
      <c r="C61" s="9" t="inlineStr">
        <is>
          <t>₸/мес</t>
        </is>
      </c>
      <c r="H61" s="47" t="inlineStr">
        <is>
          <t>Pest Hunters, КП №26/75 на 2026–2027 (без НДС); ежемесячно 2 раза, пос. К. Кайсенова</t>
        </is>
      </c>
    </row>
    <row r="62">
      <c r="A62" s="9" t="inlineStr">
        <is>
          <t>Pest Hunters · склад ТМЦ, дезинсекция</t>
        </is>
      </c>
      <c r="B62" s="46" t="n">
        <v>40000</v>
      </c>
      <c r="C62" s="9" t="inlineStr">
        <is>
          <t>₸/мес</t>
        </is>
      </c>
      <c r="H62" s="47" t="inlineStr">
        <is>
          <t>Pest Hunters, КП №26/75 на 2026–2027 (без НДС); ежемесячно 2 раза</t>
        </is>
      </c>
    </row>
    <row r="63">
      <c r="A63" s="9" t="inlineStr">
        <is>
          <t>Ставка НДС</t>
        </is>
      </c>
      <c r="B63" s="60" t="n">
        <v>0.16</v>
      </c>
      <c r="C63" s="9" t="inlineStr">
        <is>
          <t>доля</t>
        </is>
      </c>
      <c r="H63" s="47" t="inlineStr">
        <is>
          <t>по КП Pest Hunters №26/12: 2 196 000 ₸ + НДС = 2 547 360 ₸</t>
        </is>
      </c>
    </row>
    <row r="64">
      <c r="A64" s="9" t="inlineStr">
        <is>
          <t>Месяцев высокого тарифа площадок (мар — ноя)</t>
        </is>
      </c>
      <c r="B64" s="46" t="n">
        <v>9</v>
      </c>
      <c r="C64" s="9" t="inlineStr">
        <is>
          <t>мес.</t>
        </is>
      </c>
      <c r="H64" s="47" t="inlineStr">
        <is>
          <t>Pest Hunters, КП №26/12 на 2026–2027 (без НДС)</t>
        </is>
      </c>
    </row>
    <row r="65">
      <c r="A65" s="9" t="inlineStr">
        <is>
          <t>Месяцев низкого тарифа площадок (дек — фев)</t>
        </is>
      </c>
      <c r="B65" s="46" t="n">
        <v>3</v>
      </c>
      <c r="C65" s="9" t="inlineStr">
        <is>
          <t>мес.</t>
        </is>
      </c>
      <c r="H65" s="47" t="inlineStr">
        <is>
          <t>Pest Hunters, КП №26/12 на 2026–2027 (без НДС)</t>
        </is>
      </c>
    </row>
    <row r="66">
      <c r="A66" s="9" t="inlineStr">
        <is>
          <t>Месяцев действия договора по складу ТМЦ</t>
        </is>
      </c>
      <c r="B66" s="46" t="n">
        <v>9</v>
      </c>
      <c r="C66" s="9" t="inlineStr">
        <is>
          <t>мес.</t>
        </is>
      </c>
      <c r="H66" s="47" t="inlineStr">
        <is>
          <t>апрель — декабрь 2026</t>
        </is>
      </c>
    </row>
    <row r="67">
      <c r="A67" s="9" t="inlineStr">
        <is>
          <t>Скидка Indigo за всю территорию фабрики</t>
        </is>
      </c>
      <c r="B67" s="60" t="n">
        <v>0.15</v>
      </c>
      <c r="C67" s="9" t="inlineStr">
        <is>
          <t>доля</t>
        </is>
      </c>
      <c r="H67" s="47" t="inlineStr">
        <is>
          <t>КП от 19.08.2026, условия предоставления скидок</t>
        </is>
      </c>
    </row>
    <row r="68">
      <c r="A68" s="9" t="inlineStr">
        <is>
          <t>Скидка Indigo за 100 % предоплату за год</t>
        </is>
      </c>
      <c r="B68" s="60" t="n">
        <v>0.15</v>
      </c>
      <c r="C68" s="9" t="inlineStr">
        <is>
          <t>доля</t>
        </is>
      </c>
      <c r="H68" s="47" t="inlineStr">
        <is>
          <t>КП от 19.08.2026, дополнительно к предыдущей</t>
        </is>
      </c>
    </row>
    <row r="69">
      <c r="A69" s="9" t="inlineStr">
        <is>
          <t>Скидка Indigo неплательщику НДС</t>
        </is>
      </c>
      <c r="B69" s="60" t="n">
        <v>0.16</v>
      </c>
      <c r="C69" s="9" t="inlineStr">
        <is>
          <t>доля</t>
        </is>
      </c>
      <c r="H69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2026-08-27T04:54:28Z</dcterms:created>
  <dcterms:modified xsi:type="dcterms:W3CDTF">2026-08-27T04:54:29Z</dcterms:modified>
</cp:coreProperties>
</file>