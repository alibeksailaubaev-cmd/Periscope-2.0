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0" borderId="2" pivotButton="0" quotePrefix="0" xfId="0"/>
    <xf numFmtId="164" fontId="8" fillId="3" borderId="2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УКПФ</author>
  </authors>
  <commentList>
    <comment ref="E9" authorId="0" shapeId="0">
      <text>
        <t>180 000 ₸/мес (2 160 000 ₸/год) по договору №88 — это ДЕРАТИЗАЦИЯ И ДЕЗИНСЕКЦИЯ ВМЕСТЕ, одной суммой без разбивки. Подрядчик не выделяет, сколько из неё приходится на каждую услугу. Здесь сумма показана как есть, поэтому цена дератизации по ЗПП у Pest Hunters завышена.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Две таблицы: сначала дератизация, ниже дезинсекция — по тем же объектам, но только по КП подрядчиков.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 ht="28" customHeight="1">
      <c r="A5" s="50" t="n"/>
      <c r="B5" s="5" t="inlineStr">
        <is>
          <t>месяц</t>
        </is>
      </c>
      <c r="C5" s="5" t="inlineStr">
        <is>
          <t>год</t>
        </is>
      </c>
      <c r="D5" s="5" t="inlineStr">
        <is>
          <t>месяц</t>
        </is>
      </c>
      <c r="E5" s="5" t="inlineStr">
        <is>
          <t>год</t>
        </is>
      </c>
      <c r="F5" s="5" t="inlineStr">
        <is>
          <t>месяц (расходники)</t>
        </is>
      </c>
      <c r="G5" s="5" t="inlineStr">
        <is>
          <t>год (расходники)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7344.791667</v>
      </c>
      <c r="G6" s="8">
        <f>'ККЗ'!D5</f>
        <v>88137.5</v>
      </c>
    </row>
    <row r="7">
      <c r="A7" s="6" t="inlineStr">
        <is>
          <t>Бройлерные площадки</t>
        </is>
      </c>
      <c r="B7" s="9" t="inlineStr"/>
      <c r="C7" s="51" t="n"/>
      <c r="D7" s="9" t="inlineStr"/>
      <c r="E7" s="51" t="n"/>
      <c r="F7" s="7">
        <f>G7/12</f>
        <v>335989.4583</v>
      </c>
      <c r="G7" s="8">
        <f>'Бройлерные площадки'!D5</f>
        <v>4031873.5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7">
        <f>E8/12</f>
        <v>120000</v>
      </c>
      <c r="E8" s="8">
        <f>'Инкубаторий'!C5</f>
        <v>1440000</v>
      </c>
      <c r="F8" s="7">
        <f>G8/12</f>
        <v>15350.45833</v>
      </c>
      <c r="G8" s="8">
        <f>'Инкубаторий'!D5</f>
        <v>184205.5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51" t="n"/>
    </row>
    <row r="10">
      <c r="A10" s="6" t="inlineStr">
        <is>
          <t>Склад ТМЦ</t>
        </is>
      </c>
      <c r="B10" s="9" t="inlineStr">
        <is>
          <t>нет в КП</t>
        </is>
      </c>
      <c r="C10" s="51" t="n"/>
      <c r="D10" s="7">
        <f>E10/12</f>
        <v>40000</v>
      </c>
      <c r="E10" s="8">
        <f>'Склад ТМЦ'!C5</f>
        <v>480000</v>
      </c>
      <c r="F10" s="9" t="inlineStr">
        <is>
          <t>нормы не заданы</t>
        </is>
      </c>
      <c r="G10" s="51" t="n"/>
    </row>
    <row r="11">
      <c r="A11" s="6" t="inlineStr">
        <is>
          <t>АБК · 11 корпусов</t>
        </is>
      </c>
      <c r="B11" s="9" t="inlineStr"/>
      <c r="C11" s="51" t="n"/>
      <c r="D11" s="9" t="inlineStr"/>
      <c r="E11" s="51" t="n"/>
      <c r="F11" s="7">
        <f>G11/12</f>
        <v>24062.22917</v>
      </c>
      <c r="G11" s="8">
        <f>'АБК'!D5</f>
        <v>288746.75</v>
      </c>
    </row>
    <row r="12">
      <c r="A12" s="11" t="inlineStr">
        <is>
          <t>ВСЕГО ЗА ГОД, ДЕРАТИЗАЦИЯ</t>
        </is>
      </c>
      <c r="B12" s="12">
        <f>C12/12</f>
        <v>349000</v>
      </c>
      <c r="C12" s="12">
        <f>SUM(C6:C11)</f>
        <v>4188000</v>
      </c>
      <c r="D12" s="12">
        <f>E12/12</f>
        <v>415000</v>
      </c>
      <c r="E12" s="12">
        <f>SUM(E6:E11)</f>
        <v>4980000</v>
      </c>
      <c r="F12" s="12">
        <f>G12/12</f>
        <v>382746.9375</v>
      </c>
      <c r="G12" s="12">
        <f>SUM(G6:G11)</f>
        <v>4592963.25</v>
      </c>
    </row>
    <row r="13" ht="32" customHeight="1">
      <c r="A13" s="13" t="inlineStr">
        <is>
          <t>Суммы подрядчиков — как они указаны в КП, то есть за полный охват объекта. Цены Indigo включают НДС, цены Pest Hunters — без НДС, приведение к сопоставимому виду в таблице ниже. По ЗПП сумма Pest Hunters взята из договора №88 и покрывает ещё и дезинсекцию, поэтому как цена дератизации она завышена. Бройлерные площадки и АБК окончательно остаются за собственным штатом — цены подрядчиков по ним здесь не сравниваются, чтобы не путать с объектами, которые ещё в работе.</t>
        </is>
      </c>
    </row>
    <row r="14"/>
    <row r="15">
      <c r="A15" s="14" t="inlineStr">
        <is>
          <t>ДЕЗИНСЕКЦИЯ — ТОЛЬКО КП ПОДРЯДЧИКОВ, INDIGO SOLUTIONS ПРОТИВ PEST HUNTERS</t>
        </is>
      </c>
      <c r="B15" s="15" t="n"/>
      <c r="C15" s="15" t="n"/>
      <c r="D15" s="15" t="n"/>
      <c r="E15" s="15" t="n"/>
      <c r="F15" s="15" t="n"/>
      <c r="G15" s="15" t="n"/>
    </row>
    <row r="16">
      <c r="A16" s="3" t="inlineStr">
        <is>
          <t>Объект</t>
        </is>
      </c>
      <c r="B16" s="4" t="inlineStr">
        <is>
          <t>Indigo Solutions</t>
        </is>
      </c>
      <c r="D16" s="4" t="inlineStr">
        <is>
          <t>Pest Hunters</t>
        </is>
      </c>
    </row>
    <row r="17" ht="28" customHeight="1">
      <c r="A17" s="50" t="n"/>
      <c r="B17" s="5" t="inlineStr">
        <is>
          <t>месяц</t>
        </is>
      </c>
      <c r="C17" s="5" t="inlineStr">
        <is>
          <t>год</t>
        </is>
      </c>
      <c r="D17" s="5" t="inlineStr">
        <is>
          <t>месяц</t>
        </is>
      </c>
      <c r="E17" s="5" t="inlineStr">
        <is>
          <t>год</t>
        </is>
      </c>
    </row>
    <row r="18">
      <c r="A18" s="6" t="inlineStr">
        <is>
          <t>ККЗ</t>
        </is>
      </c>
      <c r="B18" s="9" t="inlineStr">
        <is>
          <t>нет в КП</t>
        </is>
      </c>
      <c r="C18" s="51" t="n"/>
      <c r="D18" s="7">
        <f>E18/12</f>
        <v>70000</v>
      </c>
      <c r="E18" s="8">
        <f>Данные!$B$53*12</f>
        <v>840000</v>
      </c>
    </row>
    <row r="19">
      <c r="A19" s="6" t="inlineStr">
        <is>
          <t>Бройлерные площадки</t>
        </is>
      </c>
      <c r="B19" s="9" t="inlineStr"/>
      <c r="C19" s="51" t="n"/>
      <c r="D19" s="9" t="inlineStr"/>
      <c r="E19" s="51" t="n"/>
    </row>
    <row r="20">
      <c r="A20" s="6" t="inlineStr">
        <is>
          <t>Инкубаторий</t>
        </is>
      </c>
      <c r="B20" s="7">
        <f>C20/12</f>
        <v>100800</v>
      </c>
      <c r="C20" s="8">
        <f>Данные!$B$50*12</f>
        <v>1209600</v>
      </c>
      <c r="D20" s="7">
        <f>E20/12</f>
        <v>100000</v>
      </c>
      <c r="E20" s="8">
        <f>Данные!$B$61*12</f>
        <v>1200000</v>
      </c>
    </row>
    <row r="21">
      <c r="A21" s="6" t="inlineStr">
        <is>
          <t>ЗПП</t>
        </is>
      </c>
      <c r="B21" s="7">
        <f>C21/12</f>
        <v>160800</v>
      </c>
      <c r="C21" s="8">
        <f>Данные!$B$51*12</f>
        <v>1929600</v>
      </c>
      <c r="D21" s="9" t="inlineStr">
        <is>
          <t>входит в договор №88</t>
        </is>
      </c>
      <c r="E21" s="51" t="n"/>
    </row>
    <row r="22">
      <c r="A22" s="6" t="inlineStr">
        <is>
          <t>Склад ТМЦ</t>
        </is>
      </c>
      <c r="B22" s="9" t="inlineStr">
        <is>
          <t>нет в КП</t>
        </is>
      </c>
      <c r="C22" s="51" t="n"/>
      <c r="D22" s="7">
        <f>E22/12</f>
        <v>40000</v>
      </c>
      <c r="E22" s="8">
        <f>Данные!$B$63*12</f>
        <v>480000</v>
      </c>
    </row>
    <row r="23">
      <c r="A23" s="6" t="inlineStr">
        <is>
          <t>АБК · 11 корпусов</t>
        </is>
      </c>
      <c r="B23" s="9" t="inlineStr"/>
      <c r="C23" s="51" t="n"/>
      <c r="D23" s="9" t="inlineStr"/>
      <c r="E23" s="51" t="n"/>
    </row>
    <row r="24">
      <c r="A24" s="11" t="inlineStr">
        <is>
          <t>ВСЕГО ЗА ГОД, ДЕЗИНСЕКЦИЯ</t>
        </is>
      </c>
      <c r="B24" s="12">
        <f>C24/12</f>
        <v>261600</v>
      </c>
      <c r="C24" s="12">
        <f>SUM(C18:C23)</f>
        <v>3139200</v>
      </c>
      <c r="D24" s="12">
        <f>E24/12</f>
        <v>210000</v>
      </c>
      <c r="E24" s="12">
        <f>SUM(E18:E23)</f>
        <v>2520000</v>
      </c>
    </row>
    <row r="25" ht="32" customHeight="1">
      <c r="A25" s="13" t="inlineStr">
        <is>
          <t>Колонки «Штат УКПФ» здесь нет: дезинсекцию собственная служба не выполняет, норм расхода по ней не задано. У Pest Hunters по площадкам в столбце «год» стоит сумма из КП как есть, без пересчёта: 122 площадки по 18 000 ₸ = 2 196 000 ₸ — это стоимость одной обработки (периодичность «1 раз за 40 дней»), подрядчик годовую сумму не указывал, поэтому она здесь не досчитана. У Indigo та же услуга помесячная, 12 платежей в год. По ЗПП отдельной цены на дезинсекцию у Pest Hunters нет — 180 000 ₸/мес по договору №88 покрывают её вместе с дератизацией. Бройлерные площадки и АБК остаются за штатом, здесь не сравниваются.</t>
        </is>
      </c>
    </row>
    <row r="26"/>
    <row r="27">
      <c r="A27" s="14" t="inlineStr">
        <is>
          <t>ДЕРАТИЗАЦИЯ И ДЕЗИНСЕКЦИЯ ВМЕСТЕ</t>
        </is>
      </c>
      <c r="B27" s="15" t="n"/>
      <c r="C27" s="15" t="n"/>
      <c r="D27" s="15" t="n"/>
      <c r="E27" s="15" t="n"/>
      <c r="F27" s="15" t="n"/>
      <c r="G27" s="15" t="n"/>
    </row>
    <row r="28">
      <c r="A28" s="16" t="inlineStr">
        <is>
          <t>Подрядчик</t>
        </is>
      </c>
      <c r="B28" s="17" t="inlineStr">
        <is>
          <t>Дератизация, ₸/год</t>
        </is>
      </c>
      <c r="C28" s="17" t="inlineStr">
        <is>
          <t>Дезинсекция, ₸/год</t>
        </is>
      </c>
      <c r="D28" s="17" t="inlineStr">
        <is>
          <t>Вместе, ₸/год</t>
        </is>
      </c>
    </row>
    <row r="29">
      <c r="A29" s="6" t="inlineStr">
        <is>
          <t>Indigo Solutions</t>
        </is>
      </c>
      <c r="B29" s="7">
        <f>'ККЗ'!B5+'Инкубаторий'!B5+'ЗПП'!B5+'Склад ТМЦ'!B5</f>
        <v>4188000</v>
      </c>
      <c r="C29" s="7">
        <f>Данные!$B$50*12+Данные!$B$51*12</f>
        <v>3139200</v>
      </c>
      <c r="D29" s="8">
        <f>B29+C29</f>
        <v>7327200</v>
      </c>
    </row>
    <row r="30">
      <c r="A30" s="6" t="inlineStr">
        <is>
          <t>Pest Hunters</t>
        </is>
      </c>
      <c r="B30" s="7">
        <f>'ККЗ'!C5+'Инкубаторий'!C5+'ЗПП'!C5+'Склад ТМЦ'!C5</f>
        <v>4980000</v>
      </c>
      <c r="C30" s="7">
        <f>Данные!$B$53*12+Данные!$B$61*12+Данные!$B$63*12</f>
        <v>2520000</v>
      </c>
      <c r="D30" s="8">
        <f>B30+C30</f>
        <v>7500000</v>
      </c>
    </row>
    <row r="31" ht="30" customHeight="1">
      <c r="A31" s="13" t="inlineStr">
        <is>
          <t>Только ККЗ, Инкубаторий, ЗПП и Склад ТМЦ — объекты, которые ещё можно отдать подрядчику. Бройлерные площадки и АБК в сумму не входят, они остаются за штатом. Суммы сложены как есть, без приведения к НДС: у Indigo цены уже с НДС, у Pest Hunters — без. Составы объектов тоже разные, поэтому колонка «Вместе» показывает масштаб, а не готовую цену контракта.</t>
        </is>
      </c>
    </row>
    <row r="32"/>
    <row r="33">
      <c r="A33" s="14" t="inlineStr">
        <is>
          <t>ПОДРЯДЧИКИ НА СОПОСТАВИМОЙ БАЗЕ — ЦЕНЫ PEST HUNTERS ПРИВЕДЕНЫ К НДС</t>
        </is>
      </c>
      <c r="B33" s="15" t="n"/>
      <c r="C33" s="15" t="n"/>
      <c r="D33" s="15" t="n"/>
      <c r="E33" s="15" t="n"/>
    </row>
    <row r="34" ht="30" customHeight="1">
      <c r="A34" s="16" t="inlineStr">
        <is>
          <t>Объект</t>
        </is>
      </c>
      <c r="B34" s="17" t="inlineStr">
        <is>
          <t>Indigo, ₸/год (с НДС)</t>
        </is>
      </c>
      <c r="C34" s="17" t="inlineStr">
        <is>
          <t>Pest Hunters, ₸/год (с НДС 16 %)</t>
        </is>
      </c>
      <c r="D34" s="17" t="inlineStr">
        <is>
          <t>Дешевле</t>
        </is>
      </c>
      <c r="E34" s="17" t="inlineStr">
        <is>
          <t>Разница, ₸/год</t>
        </is>
      </c>
    </row>
    <row r="35">
      <c r="A35" s="6" t="inlineStr">
        <is>
          <t>ККЗ</t>
        </is>
      </c>
      <c r="B35" s="7">
        <f>C6</f>
        <v>1159200</v>
      </c>
      <c r="C35" s="7">
        <f>E6*(1+Данные!$B$64)</f>
        <v>1044000</v>
      </c>
      <c r="D35" s="18" t="str">
        <f>IF(B35&lt;C35,"Indigo","Pest Hunters")</f>
        <v>Pest Hunters</v>
      </c>
      <c r="E35" s="8">
        <f>ABS(B35-C35)</f>
        <v>115200</v>
      </c>
    </row>
    <row r="36">
      <c r="A36" s="6" t="inlineStr">
        <is>
          <t>Инкубаторий</t>
        </is>
      </c>
      <c r="B36" s="7">
        <f>C8</f>
        <v>1514400</v>
      </c>
      <c r="C36" s="7">
        <f>E8*(1+Данные!$B$64)</f>
        <v>1670400</v>
      </c>
      <c r="D36" s="18" t="str">
        <f>IF(B36&lt;C36,"Indigo","Pest Hunters")</f>
        <v>Indigo</v>
      </c>
      <c r="E36" s="8">
        <f>ABS(B36-C36)</f>
        <v>156000</v>
      </c>
    </row>
    <row r="37">
      <c r="A37" s="6" t="inlineStr">
        <is>
          <t>ЗПП</t>
        </is>
      </c>
      <c r="B37" s="7">
        <f>C9</f>
        <v>1514400</v>
      </c>
      <c r="C37" s="7">
        <f>E9</f>
        <v>2160000</v>
      </c>
      <c r="D37" s="18" t="str">
        <f>IF(B37&lt;C37,"Indigo","Pest Hunters")</f>
        <v>Indigo</v>
      </c>
      <c r="E37" s="8">
        <f>ABS(B37-C37)</f>
        <v>645600</v>
      </c>
    </row>
    <row r="38">
      <c r="A38" s="6" t="inlineStr">
        <is>
          <t>Склад ТМЦ</t>
        </is>
      </c>
      <c r="B38" s="19" t="inlineStr">
        <is>
          <t>нет в КП</t>
        </is>
      </c>
      <c r="C38" s="7">
        <f>E10*(1+Данные!$B$64)</f>
        <v>556800</v>
      </c>
      <c r="D38" s="18" t="inlineStr">
        <is>
          <t>Pest Hunters</t>
        </is>
      </c>
      <c r="E38" s="19" t="inlineStr">
        <is>
          <t>—</t>
        </is>
      </c>
    </row>
    <row r="39" ht="46" customHeight="1">
      <c r="A39" s="13" t="inlineStr">
        <is>
          <t>Цены Indigo из КП уже включают НДС, цены Pest Hunters указаны без НДС — здесь к ним добавлены 16 % (ставка из их же КП №26/12: 2 196 000 ₸ + НДС = 2 547 360 ₸). Без этого приведения сравнение некорректно: по инкубаторию Pest Hunters в «сырых» цифрах выглядит дешевле, а с НДС оказывается дороже. По ЗПП цена взята из договора №88, ставка НДС в нём не указана, поэтому она показана как есть и включает ещё и дезинсекцию.</t>
        </is>
      </c>
    </row>
    <row r="40"/>
    <row r="41">
      <c r="A41" s="14" t="inlineStr">
        <is>
          <t>РАЗНИЦА С СОБСТВЕННЫМ ШТАТОМ</t>
        </is>
      </c>
      <c r="B41" s="15" t="n"/>
      <c r="C41" s="15" t="n"/>
      <c r="D41" s="15" t="n"/>
    </row>
    <row r="42">
      <c r="A42" s="20" t="inlineStr">
        <is>
          <t>Показатель</t>
        </is>
      </c>
      <c r="B42" s="21" t="inlineStr">
        <is>
          <t>в месяц</t>
        </is>
      </c>
      <c r="C42" s="21" t="inlineStr">
        <is>
          <t>за год</t>
        </is>
      </c>
      <c r="D42" s="21" t="inlineStr">
        <is>
          <t>во сколько раз</t>
        </is>
      </c>
    </row>
    <row r="43">
      <c r="A43" s="6" t="inlineStr">
        <is>
          <t>Indigo Solutions дороже штата</t>
        </is>
      </c>
      <c r="B43" s="7">
        <f>C43/12</f>
        <v>-1783746.938</v>
      </c>
      <c r="C43" s="8">
        <f>C12-(G12+Данные!$B$13*Данные!$B$12*12)</f>
        <v>-21404963.25</v>
      </c>
      <c r="D43" s="52">
        <f>IF((G12+Данные!$B$13*Данные!$B$12*12)=0,0,C12/(G12+Данные!$B$13*Данные!$B$12*12))</f>
        <v>0.1636387299</v>
      </c>
    </row>
    <row r="44">
      <c r="A44" s="6" t="inlineStr">
        <is>
          <t>Pest Hunters дороже штата</t>
        </is>
      </c>
      <c r="B44" s="7">
        <f>C44/12</f>
        <v>-1717746.938</v>
      </c>
      <c r="C44" s="8">
        <f>E12-(G12+Данные!$B$13*Данные!$B$12*12)</f>
        <v>-20612963.25</v>
      </c>
      <c r="D44" s="52">
        <f>IF((G12+Данные!$B$13*Данные!$B$12*12)=0,0,E12/(G12+Данные!$B$13*Данные!$B$12*12))</f>
        <v>0.1945847361</v>
      </c>
    </row>
    <row r="45">
      <c r="A45" s="2" t="inlineStr">
        <is>
          <t>Внимание, разный охват: столбцы Indigo и Pest Hunters теперь без Бройлерных площадок и АБК (эти объекты у подрядчиков не сравниваются), а столбец «Штат» по-прежнему включает все шесть объектов и полный ФОТ. Показанная разница и «во сколько раз» поэтому занижены — справедливее сравнивать по отдельным объектам в таблице выше, чем этой строкой целиком.</t>
        </is>
      </c>
    </row>
    <row r="46"/>
    <row r="47">
      <c r="A47" s="14" t="inlineStr">
        <is>
          <t>ШТАТ УКПФ · ПОЛНАЯ РАСШИФРОВКА</t>
        </is>
      </c>
      <c r="B47" s="15" t="n"/>
      <c r="C47" s="15" t="n"/>
      <c r="D47" s="15" t="n"/>
      <c r="E47" s="15" t="n"/>
      <c r="F47" s="15" t="n"/>
      <c r="G47" s="15" t="n"/>
    </row>
    <row r="48">
      <c r="A48" s="23" t="inlineStr">
        <is>
          <t>Статья</t>
        </is>
      </c>
      <c r="B48" s="5" t="inlineStr">
        <is>
          <t>Количество</t>
        </is>
      </c>
      <c r="C48" s="5" t="inlineStr">
        <is>
          <t>Ед. изм.</t>
        </is>
      </c>
      <c r="D48" s="5" t="inlineStr">
        <is>
          <t>Цена за ед., ₸</t>
        </is>
      </c>
      <c r="E48" s="5" t="inlineStr">
        <is>
          <t>в месяц, ₸</t>
        </is>
      </c>
      <c r="F48" s="5" t="inlineStr">
        <is>
          <t>за год, ₸</t>
        </is>
      </c>
    </row>
    <row r="49">
      <c r="A49" s="6" t="inlineStr">
        <is>
          <t>Численность штата</t>
        </is>
      </c>
      <c r="B49" s="7">
        <f>Данные!$B$13</f>
        <v>5</v>
      </c>
      <c r="C49" s="24" t="inlineStr">
        <is>
          <t>чел.</t>
        </is>
      </c>
      <c r="D49" s="10" t="n"/>
      <c r="E49" s="10" t="n"/>
      <c r="F49" s="10" t="n"/>
    </row>
    <row r="50">
      <c r="A50" s="6" t="inlineStr">
        <is>
          <t>Оклад одного дератизатора</t>
        </is>
      </c>
      <c r="B50" s="10" t="n"/>
      <c r="C50" s="24" t="inlineStr">
        <is>
          <t>₸/мес</t>
        </is>
      </c>
      <c r="D50" s="7">
        <f>Данные!$B$12</f>
        <v>350000</v>
      </c>
      <c r="E50" s="10" t="n"/>
      <c r="F50" s="10" t="n"/>
    </row>
    <row r="51">
      <c r="A51" s="6" t="inlineStr">
        <is>
          <t>Фонд оплаты труда</t>
        </is>
      </c>
      <c r="B51" s="7">
        <f>Данные!$B$13</f>
        <v>5</v>
      </c>
      <c r="C51" s="24" t="inlineStr">
        <is>
          <t>чел.</t>
        </is>
      </c>
      <c r="D51" s="7">
        <f>Данные!$B$12</f>
        <v>350000</v>
      </c>
      <c r="E51" s="7">
        <f>Данные!$B$13*Данные!$B$12</f>
        <v>1750000</v>
      </c>
      <c r="F51" s="8">
        <f>Данные!$B$13*Данные!$B$12*12</f>
        <v>21000000</v>
      </c>
    </row>
    <row r="52">
      <c r="A52" s="6" t="inlineStr">
        <is>
          <t>Приманочные станции 1-го и 2-го контура · разовая закупка</t>
        </is>
      </c>
      <c r="B52" s="7">
        <f>Данные!$B$32+Данные!$C$32</f>
        <v>1377</v>
      </c>
      <c r="C52" s="24" t="inlineStr">
        <is>
          <t>шт</t>
        </is>
      </c>
      <c r="D52" s="7">
        <f>Данные!$B$9</f>
        <v>2160</v>
      </c>
      <c r="E52" s="10" t="n"/>
      <c r="F52" s="8">
        <f>(Данные!$B$32+Данные!$C$32)*Данные!$B$9</f>
        <v>2974320</v>
      </c>
    </row>
    <row r="53">
      <c r="A53" s="6" t="inlineStr">
        <is>
          <t>Клеевые станции 3-го контура · апрель — октябрь</t>
        </is>
      </c>
      <c r="B53" s="7">
        <f>Данные!$D$32</f>
        <v>343</v>
      </c>
      <c r="C53" s="24" t="inlineStr">
        <is>
          <t>шт/мес</t>
        </is>
      </c>
      <c r="D53" s="7">
        <f>Данные!$B$8</f>
        <v>160</v>
      </c>
      <c r="E53" s="7">
        <f>Данные!$D$32*Данные!$B$8</f>
        <v>54880</v>
      </c>
      <c r="F53" s="8">
        <f>Данные!$D$32*Данные!$B$8*Данные!$B$14</f>
        <v>384160</v>
      </c>
    </row>
    <row r="54">
      <c r="A54" s="6" t="inlineStr">
        <is>
          <t>Клеевые станции 3-го контура · ноябрь — март, объём вдвое</t>
        </is>
      </c>
      <c r="B54" s="7">
        <f>Данные!$D$32*2</f>
        <v>686</v>
      </c>
      <c r="C54" s="24" t="inlineStr">
        <is>
          <t>шт/мес</t>
        </is>
      </c>
      <c r="D54" s="7">
        <f>Данные!$B$8</f>
        <v>160</v>
      </c>
      <c r="E54" s="7">
        <f>Данные!$D$32*2*Данные!$B$8</f>
        <v>109760</v>
      </c>
      <c r="F54" s="8">
        <f>Данные!$D$32*2*Данные!$B$8*Данные!$B$15</f>
        <v>548800</v>
      </c>
    </row>
    <row r="55">
      <c r="A55" s="6" t="inlineStr">
        <is>
          <t>Зерноцид · 2-й контур, тёплый сезон</t>
        </is>
      </c>
      <c r="B55" s="7">
        <f>Данные!$G$32</f>
        <v>16</v>
      </c>
      <c r="C55" s="24" t="inlineStr">
        <is>
          <t>кг/мес</t>
        </is>
      </c>
      <c r="D55" s="7">
        <f>Данные!$B$6</f>
        <v>740</v>
      </c>
      <c r="E55" s="7">
        <f>Данные!$G$32*Данные!$B$6</f>
        <v>11840</v>
      </c>
      <c r="F55" s="8">
        <f>Данные!$G$32*Данные!$B$6*Данные!$B$14</f>
        <v>82880</v>
      </c>
    </row>
    <row r="56">
      <c r="A56" s="6" t="inlineStr">
        <is>
          <t>Pest Killer, брикеты · заряжаются в станции 2-го контура</t>
        </is>
      </c>
      <c r="B56" s="7">
        <f>Данные!$F$32</f>
        <v>20.3</v>
      </c>
      <c r="C56" s="24" t="inlineStr">
        <is>
          <t>кг/мес</t>
        </is>
      </c>
      <c r="D56" s="7">
        <f>Данные!$B$7</f>
        <v>3642.5</v>
      </c>
      <c r="E56" s="7">
        <f>Данные!$F$32*Данные!$B$7</f>
        <v>73942.75</v>
      </c>
      <c r="F56" s="8">
        <f>Данные!$F$32*Данные!$B$7*Данные!$B$14</f>
        <v>517599.25</v>
      </c>
    </row>
    <row r="57">
      <c r="A57" s="6" t="inlineStr">
        <is>
          <t xml:space="preserve">   в том числе станций 2-го контура, которые заряжаются</t>
        </is>
      </c>
      <c r="B57" s="7">
        <f>Данные!$C$32</f>
        <v>1198</v>
      </c>
      <c r="C57" s="24" t="inlineStr">
        <is>
          <t>шт</t>
        </is>
      </c>
      <c r="D57" s="10" t="n"/>
      <c r="E57" s="10" t="n"/>
      <c r="F57" s="10" t="n"/>
    </row>
    <row r="58">
      <c r="A58" s="6" t="inlineStr">
        <is>
          <t xml:space="preserve">   расход брикетов на одну станцию 2-го контура</t>
        </is>
      </c>
      <c r="B58" s="53">
        <f>Данные!$F$32/Данные!$C$32</f>
        <v>0.01694490818</v>
      </c>
      <c r="C58" s="24" t="inlineStr">
        <is>
          <t>кг/мес</t>
        </is>
      </c>
      <c r="D58" s="10" t="n"/>
      <c r="E58" s="10" t="n"/>
      <c r="F58" s="10" t="n"/>
    </row>
    <row r="59">
      <c r="A59" s="6" t="inlineStr">
        <is>
          <t>Бутылки, 1-й контур · тёплый сезон</t>
        </is>
      </c>
      <c r="B59" s="7">
        <f>Данные!$B$32</f>
        <v>179</v>
      </c>
      <c r="C59" s="24" t="inlineStr">
        <is>
          <t>шт/мес</t>
        </is>
      </c>
      <c r="D59" s="7">
        <f>Данные!$B$10</f>
        <v>68</v>
      </c>
      <c r="E59" s="7">
        <f>Данные!$B$32*Данные!$B$10</f>
        <v>12172</v>
      </c>
      <c r="F59" s="8">
        <f>Данные!$B$32*Данные!$B$10*Данные!$B$14</f>
        <v>85204</v>
      </c>
    </row>
    <row r="60">
      <c r="A60" s="11" t="inlineStr">
        <is>
          <t>ИТОГО ШТАТ УКПФ, ПЕРВЫЙ ГОД (с разовой закупкой станций)</t>
        </is>
      </c>
      <c r="B60" s="26" t="n"/>
      <c r="C60" s="26" t="n"/>
      <c r="D60" s="26" t="n"/>
      <c r="E60" s="12">
        <f>F60/12</f>
        <v>2132746.938</v>
      </c>
      <c r="F60" s="12">
        <f>F51+F52+F53+F54+F55+F56+F59</f>
        <v>25592963.25</v>
      </c>
    </row>
    <row r="61" ht="26" customHeight="1">
      <c r="A61" s="13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62"/>
    <row r="63">
      <c r="A63" s="14" t="inlineStr">
        <is>
          <t>СКИДКИ INDIGO ИЗ КП ОТ 19.08.2026</t>
        </is>
      </c>
      <c r="B63" s="15" t="n"/>
      <c r="C63" s="15" t="n"/>
      <c r="D63" s="15" t="n"/>
      <c r="E63" s="15" t="n"/>
      <c r="F63" s="15" t="n"/>
      <c r="G63" s="15" t="n"/>
    </row>
    <row r="64">
      <c r="A64" s="20" t="inlineStr">
        <is>
          <t>Условие</t>
        </is>
      </c>
      <c r="B64" s="21" t="inlineStr">
        <is>
          <t>в месяц</t>
        </is>
      </c>
      <c r="C64" s="21" t="inlineStr">
        <is>
          <t>за год</t>
        </is>
      </c>
      <c r="D64" s="21" t="inlineStr">
        <is>
          <t>Ставка</t>
        </is>
      </c>
    </row>
    <row r="65">
      <c r="A65" s="6" t="inlineStr">
        <is>
          <t>Цена КП без скидок</t>
        </is>
      </c>
      <c r="B65" s="7">
        <f>C65/12</f>
        <v>349000</v>
      </c>
      <c r="C65" s="8">
        <f>C12</f>
        <v>4188000</v>
      </c>
      <c r="D65" s="10" t="n"/>
    </row>
    <row r="66">
      <c r="A66" s="6" t="inlineStr">
        <is>
          <t>Вся территория фабрики</t>
        </is>
      </c>
      <c r="B66" s="7">
        <f>C66/12</f>
        <v>296650</v>
      </c>
      <c r="C66" s="8">
        <f>C12*(1-Данные!$B$68)</f>
        <v>3559800</v>
      </c>
      <c r="D66" s="54">
        <f>Данные!$B$68</f>
        <v>0.15</v>
      </c>
    </row>
    <row r="67">
      <c r="A67" s="6" t="inlineStr">
        <is>
          <t>Вся территория + 100 % предоплата</t>
        </is>
      </c>
      <c r="B67" s="7">
        <f>C67/12</f>
        <v>252152.5</v>
      </c>
      <c r="C67" s="8">
        <f>C12*(1-Данные!$B$68)*(1-Данные!$B$69)</f>
        <v>3025830</v>
      </c>
      <c r="D67" s="54">
        <f>Данные!$B$69</f>
        <v>0.15</v>
      </c>
    </row>
    <row r="68">
      <c r="A68" s="6" t="inlineStr">
        <is>
          <t>Вся территория + предоплата + неплательщик НДС</t>
        </is>
      </c>
      <c r="B68" s="7">
        <f>C68/12</f>
        <v>211808.1</v>
      </c>
      <c r="C68" s="8">
        <f>C12*(1-Данные!$B$68)*(1-Данные!$B$69)*(1-Данные!$B$70)</f>
        <v>2541697.2</v>
      </c>
      <c r="D68" s="54">
        <f>Данные!$B$70</f>
        <v>0.16</v>
      </c>
    </row>
    <row r="69"/>
    <row r="70">
      <c r="A70" s="14" t="inlineStr">
        <is>
          <t>ПЕРИОДИЧНОСТЬ ОБХОДОВ</t>
        </is>
      </c>
      <c r="B70" s="15" t="n"/>
      <c r="C70" s="15" t="n"/>
      <c r="D70" s="15" t="n"/>
      <c r="E70" s="15" t="n"/>
      <c r="F70" s="15" t="n"/>
      <c r="G70" s="15" t="n"/>
    </row>
    <row r="71">
      <c r="A71" s="28" t="inlineStr">
        <is>
          <t>Вариант</t>
        </is>
      </c>
      <c r="B71" s="28" t="inlineStr">
        <is>
          <t>Объект</t>
        </is>
      </c>
      <c r="C71" s="28" t="inlineStr">
        <is>
          <t>Обходов в месяц</t>
        </is>
      </c>
      <c r="D71" s="28" t="inlineStr">
        <is>
          <t>Что зафиксировано в документах</t>
        </is>
      </c>
    </row>
    <row r="72">
      <c r="A72" s="6" t="inlineStr">
        <is>
          <t>Indigo Solutions</t>
        </is>
      </c>
      <c r="B72" s="6" t="inlineStr">
        <is>
          <t>все объекты</t>
        </is>
      </c>
      <c r="C72" s="24" t="inlineStr">
        <is>
          <t>в КП не указана</t>
        </is>
      </c>
      <c r="D72" s="29" t="inlineStr">
        <is>
          <t>ответ по заявке ≤ 2 ч, выезд ≤ 24 ч, вызовы без ограничений</t>
        </is>
      </c>
      <c r="E72" s="55" t="n"/>
      <c r="F72" s="55" t="n"/>
      <c r="G72" s="51" t="n"/>
    </row>
    <row r="73">
      <c r="A73" s="6" t="inlineStr">
        <is>
          <t>Pest Hunters</t>
        </is>
      </c>
      <c r="B73" s="6" t="inlineStr">
        <is>
          <t>ККЗ</t>
        </is>
      </c>
      <c r="C73" s="24" t="n">
        <v>1</v>
      </c>
      <c r="D73" s="29" t="inlineStr">
        <is>
          <t>выезд по запросу</t>
        </is>
      </c>
      <c r="E73" s="55" t="n"/>
      <c r="F73" s="55" t="n"/>
      <c r="G73" s="51" t="n"/>
    </row>
    <row r="74">
      <c r="A74" s="6" t="inlineStr">
        <is>
          <t>Pest Hunters</t>
        </is>
      </c>
      <c r="B74" s="6" t="inlineStr">
        <is>
          <t>бройлерные площадки</t>
        </is>
      </c>
      <c r="C74" s="24" t="n">
        <v>1</v>
      </c>
      <c r="D74" s="29" t="inlineStr">
        <is>
          <t>дополнительные визиты по вызову</t>
        </is>
      </c>
      <c r="E74" s="55" t="n"/>
      <c r="F74" s="55" t="n"/>
      <c r="G74" s="51" t="n"/>
    </row>
    <row r="75">
      <c r="A75" s="6" t="inlineStr">
        <is>
          <t>Pest Hunters</t>
        </is>
      </c>
      <c r="B75" s="6" t="inlineStr">
        <is>
          <t>инкубаторий</t>
        </is>
      </c>
      <c r="C75" s="24" t="n">
        <v>2</v>
      </c>
      <c r="D75" s="29" t="inlineStr">
        <is>
          <t>КП №26/75: ежемесячно 2 раза</t>
        </is>
      </c>
      <c r="E75" s="55" t="n"/>
      <c r="F75" s="55" t="n"/>
      <c r="G75" s="51" t="n"/>
    </row>
    <row r="76">
      <c r="A76" s="6" t="inlineStr">
        <is>
          <t>Pest Hunters</t>
        </is>
      </c>
      <c r="B76" s="6" t="inlineStr">
        <is>
          <t>ЗПП</t>
        </is>
      </c>
      <c r="C76" s="24" t="n">
        <v>3</v>
      </c>
      <c r="D76" s="29" t="inlineStr">
        <is>
          <t>по графику на 2026 год, бригада из трёх человек</t>
        </is>
      </c>
      <c r="E76" s="55" t="n"/>
      <c r="F76" s="55" t="n"/>
      <c r="G76" s="51" t="n"/>
    </row>
    <row r="77">
      <c r="A77" s="6" t="inlineStr">
        <is>
          <t>Pest Hunters</t>
        </is>
      </c>
      <c r="B77" s="6" t="inlineStr">
        <is>
          <t>склад ТМЦ</t>
        </is>
      </c>
      <c r="C77" s="24" t="n">
        <v>2</v>
      </c>
      <c r="D77" s="29" t="inlineStr">
        <is>
          <t>КП №26/75: ежемесячно 2 раза (по договору №921 был 1 обход)</t>
        </is>
      </c>
      <c r="E77" s="55" t="n"/>
      <c r="F77" s="55" t="n"/>
      <c r="G77" s="51" t="n"/>
    </row>
    <row r="78">
      <c r="A78" s="6" t="inlineStr">
        <is>
          <t>Штат УКПФ</t>
        </is>
      </c>
      <c r="B78" s="6" t="inlineStr">
        <is>
          <t>все объекты</t>
        </is>
      </c>
      <c r="C78" s="24" t="n">
        <v>8</v>
      </c>
      <c r="D78" s="29" t="inlineStr">
        <is>
          <t>присутствие 5/2, реакция в тот же день</t>
        </is>
      </c>
      <c r="E78" s="55" t="n"/>
      <c r="F78" s="55" t="n"/>
      <c r="G78" s="51" t="n"/>
    </row>
    <row r="79">
      <c r="A79" s="14" t="inlineStr">
        <is>
          <t>ЧИСЛЕННОСТЬ ШТАТА: 2 vs 5 ДЕРАТИЗАТОРА</t>
        </is>
      </c>
      <c r="B79" s="15" t="n"/>
      <c r="C79" s="15" t="n"/>
    </row>
    <row r="80" ht="28" customHeight="1">
      <c r="A80" s="16" t="inlineStr">
        <is>
          <t>Показатель</t>
        </is>
      </c>
      <c r="B80" s="17" t="inlineStr">
        <is>
          <t>2 дератизатора</t>
        </is>
      </c>
      <c r="C80" s="17" t="inlineStr">
        <is>
          <t>5 дератизаторов</t>
        </is>
      </c>
    </row>
    <row r="81">
      <c r="A81" s="6" t="inlineStr">
        <is>
          <t>Оклад одного, ₸/мес</t>
        </is>
      </c>
      <c r="B81" s="30">
        <f>Данные!$B$11</f>
        <v>258488</v>
      </c>
      <c r="C81" s="30">
        <f>Данные!$B$12</f>
        <v>350000</v>
      </c>
    </row>
    <row r="82">
      <c r="A82" s="6" t="inlineStr">
        <is>
          <t>ФОТ в месяц, ₸</t>
        </is>
      </c>
      <c r="B82" s="30">
        <f>2*Данные!$B$11</f>
        <v>516976</v>
      </c>
      <c r="C82" s="30">
        <f>5*Данные!$B$12</f>
        <v>1750000</v>
      </c>
    </row>
    <row r="83">
      <c r="A83" s="6" t="inlineStr">
        <is>
          <t>ФОТ за год, ₸</t>
        </is>
      </c>
      <c r="B83" s="30">
        <f>2*Данные!$B$11*12</f>
        <v>6203712</v>
      </c>
      <c r="C83" s="30">
        <f>5*Данные!$B$12*12</f>
        <v>21000000</v>
      </c>
    </row>
    <row r="84">
      <c r="A84" s="6" t="inlineStr">
        <is>
          <t>Материалы, первый год, ₸</t>
        </is>
      </c>
      <c r="B84" s="30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C84" s="30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85">
      <c r="A85" s="11" t="inlineStr">
        <is>
          <t>ИТОГО, ПЕРВЫЙ ГОД, ₸</t>
        </is>
      </c>
      <c r="B85" s="31">
        <f>B83+B84</f>
        <v>10796675.25</v>
      </c>
      <c r="C85" s="31">
        <f>C83+C84</f>
        <v>25592963.25</v>
      </c>
    </row>
    <row r="86">
      <c r="A86" s="2" t="inlineStr">
        <is>
          <t>Разница 5 против 2 чел., ₸/год</t>
        </is>
      </c>
      <c r="C86" s="32">
        <f>C85-B85</f>
        <v>14796288</v>
      </c>
    </row>
  </sheetData>
  <mergeCells count="34">
    <mergeCell ref="F4:G4"/>
    <mergeCell ref="B16:C16"/>
    <mergeCell ref="B7:C7"/>
    <mergeCell ref="F10:G10"/>
    <mergeCell ref="D19:E19"/>
    <mergeCell ref="D74:G74"/>
    <mergeCell ref="B22:C22"/>
    <mergeCell ref="A16:A17"/>
    <mergeCell ref="D73:G73"/>
    <mergeCell ref="B18:C18"/>
    <mergeCell ref="D21:E21"/>
    <mergeCell ref="A13:G13"/>
    <mergeCell ref="B11:C11"/>
    <mergeCell ref="A31:G31"/>
    <mergeCell ref="D11:E11"/>
    <mergeCell ref="A39:G39"/>
    <mergeCell ref="B23:C23"/>
    <mergeCell ref="D16:E16"/>
    <mergeCell ref="A61:G61"/>
    <mergeCell ref="D7:E7"/>
    <mergeCell ref="A4:A5"/>
    <mergeCell ref="B19:C19"/>
    <mergeCell ref="B10:C10"/>
    <mergeCell ref="D77:G77"/>
    <mergeCell ref="D4:E4"/>
    <mergeCell ref="A25:G25"/>
    <mergeCell ref="F9:G9"/>
    <mergeCell ref="D76:G76"/>
    <mergeCell ref="D75:G75"/>
    <mergeCell ref="D23:E23"/>
    <mergeCell ref="D72:G72"/>
    <mergeCell ref="A2:G2"/>
    <mergeCell ref="D78:G78"/>
    <mergeCell ref="B4:C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13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D11+D12+D13+D14+D15+D16</f>
        <v>88137.5</v>
      </c>
    </row>
    <row r="6"/>
    <row r="7">
      <c r="A7" s="14" t="inlineStr">
        <is>
          <t>ДЕРАТИЗАЦИЯ — ЧТО ВХОДИТ В СРАВНЕНИЕ</t>
        </is>
      </c>
      <c r="B7" s="15" t="n"/>
      <c r="C7" s="15" t="n"/>
      <c r="D7" s="15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Данные!$B$36</f>
        <v>96600</v>
      </c>
      <c r="C9" s="37" t="n">
        <v>12</v>
      </c>
      <c r="D9" s="8">
        <f>B9*C9</f>
        <v>1159200</v>
      </c>
    </row>
    <row r="10">
      <c r="A10" s="36" t="inlineStr">
        <is>
          <t>Pest Hunters · дератизация</t>
        </is>
      </c>
      <c r="B10" s="37">
        <f>Данные!$B$52</f>
        <v>75000</v>
      </c>
      <c r="C10" s="37" t="n">
        <v>12</v>
      </c>
      <c r="D10" s="8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(Данные!$B$19+Данные!$C$19)*Данные!$B$9</f>
        <v>62640</v>
      </c>
      <c r="C11" s="37" t="n">
        <v>1</v>
      </c>
      <c r="D11" s="8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Данные!$D$19*Данные!$B$8</f>
        <v>0</v>
      </c>
      <c r="C12" s="37">
        <f>Данные!$B$14</f>
        <v>7</v>
      </c>
      <c r="D12" s="8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Данные!$D$19*2*Данные!$B$8</f>
        <v>0</v>
      </c>
      <c r="C13" s="37">
        <f>Данные!$B$15</f>
        <v>5</v>
      </c>
      <c r="D13" s="8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Данные!$G$19*Данные!$B$6</f>
        <v>0</v>
      </c>
      <c r="C14" s="37">
        <f>Данные!$B$14</f>
        <v>7</v>
      </c>
      <c r="D14" s="8">
        <f>B14*C14</f>
        <v>0</v>
      </c>
    </row>
    <row r="15">
      <c r="A15" s="36" t="inlineStr">
        <is>
          <t>Штат УКПФ · Pest Killer, брикеты</t>
        </is>
      </c>
      <c r="B15" s="37">
        <f>Данные!$F$19*Данные!$B$7</f>
        <v>3642.5</v>
      </c>
      <c r="C15" s="37">
        <f>Данные!$B$14</f>
        <v>7</v>
      </c>
      <c r="D15" s="8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Данные!$B$19*Данные!$B$10</f>
        <v>0</v>
      </c>
      <c r="C16" s="37">
        <f>Данные!$B$14</f>
        <v>7</v>
      </c>
      <c r="D16" s="8">
        <f>B16*C16</f>
        <v>0</v>
      </c>
    </row>
    <row r="17"/>
    <row r="18">
      <c r="A18" s="14" t="inlineStr">
        <is>
          <t>СПРАВОЧНО: ДЕЗИНСЕКЦИЯ — В СРАВНЕНИЕ НЕ ВХОДИТ</t>
        </is>
      </c>
      <c r="B18" s="15" t="n"/>
      <c r="C18" s="15" t="n"/>
      <c r="D18" s="15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6" t="inlineStr">
        <is>
          <t>Pest Hunters · дезинсекция</t>
        </is>
      </c>
      <c r="B20" s="37">
        <f>Данные!$B$53</f>
        <v>70000</v>
      </c>
      <c r="C20" s="37" t="n">
        <v>12</v>
      </c>
      <c r="D20" s="7">
        <f>B20*C20</f>
        <v>840000</v>
      </c>
    </row>
    <row r="21"/>
    <row r="22" ht="26" customHeight="1">
      <c r="A22" s="13" t="inlineStr">
        <is>
          <t>Зерноцид по ККЗ в нормах не заявлен, поэтому строка Зерноцида даёт ноль.</t>
        </is>
      </c>
    </row>
    <row r="23" ht="26" customHeight="1">
      <c r="A23" s="1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1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D14+D15+D16+D17+D18+D19</f>
        <v>4031873.5</v>
      </c>
    </row>
    <row r="6"/>
    <row r="7">
      <c r="A7" s="14" t="inlineStr">
        <is>
          <t>ДЕРАТИЗАЦИЯ — ОСНОВНОЙ ВАРИАНТ</t>
        </is>
      </c>
      <c r="B7" s="15" t="n"/>
      <c r="C7" s="15" t="n"/>
      <c r="D7" s="15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Данные!$B$37</f>
        <v>618400</v>
      </c>
      <c r="C9" s="37" t="n">
        <v>12</v>
      </c>
      <c r="D9" s="8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Данные!$B$39</f>
        <v>569800</v>
      </c>
      <c r="C10" s="37" t="n">
        <v>12</v>
      </c>
      <c r="D10" s="8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Данные!$B$41</f>
        <v>2599100</v>
      </c>
      <c r="C11" s="37" t="n">
        <v>12</v>
      </c>
      <c r="D11" s="8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Данные!$B$55</f>
        <v>3172000</v>
      </c>
      <c r="C12" s="37">
        <f>Данные!$B$65</f>
        <v>9</v>
      </c>
      <c r="D12" s="8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Данные!$B$56</f>
        <v>2074000</v>
      </c>
      <c r="C13" s="37">
        <f>Данные!$B$66</f>
        <v>3</v>
      </c>
      <c r="D13" s="8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(SUM(Данные!$B$22:$B$29)+SUM(Данные!$C$22:$C$29))*Данные!$B$9</f>
        <v>2715120</v>
      </c>
      <c r="C14" s="37" t="n">
        <v>1</v>
      </c>
      <c r="D14" s="8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SUM(Данные!$D$22:$D$29)*Данные!$B$8</f>
        <v>42880</v>
      </c>
      <c r="C15" s="37">
        <f>Данные!$B$14</f>
        <v>7</v>
      </c>
      <c r="D15" s="8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SUM(Данные!$D$22:$D$29)*2*Данные!$B$8</f>
        <v>85760</v>
      </c>
      <c r="C16" s="37">
        <f>Данные!$B$15</f>
        <v>5</v>
      </c>
      <c r="D16" s="8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SUM(Данные!$G$22:$G$29)*Данные!$B$6</f>
        <v>11100</v>
      </c>
      <c r="C17" s="37">
        <f>Данные!$B$14</f>
        <v>7</v>
      </c>
      <c r="D17" s="8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SUM(Данные!$F$22:$F$29)*Данные!$B$7</f>
        <v>61922.5</v>
      </c>
      <c r="C18" s="37">
        <f>Данные!$B$14</f>
        <v>7</v>
      </c>
      <c r="D18" s="8">
        <f>B18*C18</f>
        <v>433457.5</v>
      </c>
    </row>
    <row r="19">
      <c r="A19" s="36" t="inlineStr">
        <is>
          <t>Штат УКПФ · Бутылки, 1-й контур, тёплый сезон</t>
        </is>
      </c>
      <c r="B19" s="37">
        <f>SUM(Данные!$B$22:$B$29)*Данные!$B$10</f>
        <v>10948</v>
      </c>
      <c r="C19" s="37">
        <f>Данные!$B$14</f>
        <v>7</v>
      </c>
      <c r="D19" s="8">
        <f>B19*C19</f>
        <v>76636</v>
      </c>
    </row>
    <row r="20"/>
    <row r="21">
      <c r="A21" s="14" t="inlineStr">
        <is>
          <t>АЛЬТЕРНАТИВНЫЕ ВАРИАНТЫ ИЗ ТЕХ ЖЕ КП</t>
        </is>
      </c>
      <c r="B21" s="15" t="n"/>
      <c r="C21" s="15" t="n"/>
      <c r="D21" s="15" t="n"/>
    </row>
    <row r="22">
      <c r="A22" s="20" t="inlineStr">
        <is>
          <t>Статья</t>
        </is>
      </c>
      <c r="B22" s="21" t="inlineStr">
        <is>
          <t>Цена в месяц, ₸</t>
        </is>
      </c>
      <c r="C22" s="21" t="inlineStr">
        <is>
          <t>Месяцев</t>
        </is>
      </c>
      <c r="D22" s="21" t="inlineStr">
        <is>
          <t>За год, ₸</t>
        </is>
      </c>
    </row>
    <row r="23">
      <c r="A23" s="36" t="inlineStr">
        <is>
          <t>Indigo Solutions · Айыртау БП — частичная замена</t>
        </is>
      </c>
      <c r="B23" s="37">
        <f>Данные!$B$38</f>
        <v>478400</v>
      </c>
      <c r="C23" s="37" t="n">
        <v>12</v>
      </c>
      <c r="D23" s="7">
        <f>B23*C23</f>
        <v>5740800</v>
      </c>
    </row>
    <row r="24">
      <c r="A24" s="36" t="inlineStr">
        <is>
          <t>Indigo Solutions · Многоэтажки Д и Г — частичная замена</t>
        </is>
      </c>
      <c r="B24" s="37">
        <f>Данные!$B$40</f>
        <v>440700</v>
      </c>
      <c r="C24" s="37" t="n">
        <v>12</v>
      </c>
      <c r="D24" s="7">
        <f>B24*C24</f>
        <v>5288400</v>
      </c>
    </row>
    <row r="25">
      <c r="A25" s="36" t="inlineStr">
        <is>
          <t>Indigo Solutions · Площадки А, Б, Е, Ж, В (РМ), В — частичная замена</t>
        </is>
      </c>
      <c r="B25" s="37">
        <f>Данные!$B$42</f>
        <v>2010300</v>
      </c>
      <c r="C25" s="37" t="n">
        <v>12</v>
      </c>
      <c r="D25" s="7">
        <f>B25*C25</f>
        <v>24123600</v>
      </c>
    </row>
    <row r="26">
      <c r="A26" s="36" t="inlineStr">
        <is>
          <t>Pest Hunters · 122 объекта, март — ноябрь, оборудование заказчика</t>
        </is>
      </c>
      <c r="B26" s="37">
        <f>Данные!$B$57</f>
        <v>2806000</v>
      </c>
      <c r="C26" s="37">
        <f>Данные!$B$65</f>
        <v>9</v>
      </c>
      <c r="D26" s="7">
        <f>B26*C26</f>
        <v>25254000</v>
      </c>
    </row>
    <row r="27">
      <c r="A27" s="36" t="inlineStr">
        <is>
          <t>Pest Hunters · 122 объекта, декабрь — февраль, оборудование заказчика</t>
        </is>
      </c>
      <c r="B27" s="37">
        <f>Данные!$B$58</f>
        <v>1830000</v>
      </c>
      <c r="C27" s="37">
        <f>Данные!$B$66</f>
        <v>3</v>
      </c>
      <c r="D27" s="7">
        <f>B27*C27</f>
        <v>5490000</v>
      </c>
    </row>
    <row r="28"/>
    <row r="29">
      <c r="A29" s="14" t="inlineStr">
        <is>
          <t>СПРАВОЧНО: ДЕЗИНСЕКЦИЯ — В СРАВНЕНИЕ НЕ ВХОДИТ</t>
        </is>
      </c>
      <c r="B29" s="15" t="n"/>
      <c r="C29" s="15" t="n"/>
      <c r="D29" s="15" t="n"/>
    </row>
    <row r="30">
      <c r="A30" s="20" t="inlineStr">
        <is>
          <t>Статья</t>
        </is>
      </c>
      <c r="B30" s="21" t="inlineStr">
        <is>
          <t>Цена в месяц, ₸</t>
        </is>
      </c>
      <c r="C30" s="21" t="inlineStr">
        <is>
          <t>Месяцев</t>
        </is>
      </c>
      <c r="D30" s="21" t="inlineStr">
        <is>
          <t>За год, ₸</t>
        </is>
      </c>
    </row>
    <row r="31">
      <c r="A31" s="36" t="inlineStr">
        <is>
          <t>Indigo Solutions · Айыртау БП</t>
        </is>
      </c>
      <c r="B31" s="37">
        <f>Данные!$B$47</f>
        <v>720000</v>
      </c>
      <c r="C31" s="37" t="n">
        <v>12</v>
      </c>
      <c r="D31" s="7">
        <f>B31*C31</f>
        <v>8640000</v>
      </c>
    </row>
    <row r="32">
      <c r="A32" s="36" t="inlineStr">
        <is>
          <t>Indigo Solutions · Многоэтажки Д и Г</t>
        </is>
      </c>
      <c r="B32" s="37">
        <f>Данные!$B$48</f>
        <v>1080000</v>
      </c>
      <c r="C32" s="37" t="n">
        <v>12</v>
      </c>
      <c r="D32" s="7">
        <f>B32*C32</f>
        <v>12960000</v>
      </c>
    </row>
    <row r="33">
      <c r="A33" s="36" t="inlineStr">
        <is>
          <t>Indigo Solutions · Площадки А, Б, Е, Ж, В (РМ), В</t>
        </is>
      </c>
      <c r="B33" s="37">
        <f>Данные!$B$49</f>
        <v>3000000</v>
      </c>
      <c r="C33" s="37" t="n">
        <v>12</v>
      </c>
      <c r="D33" s="7">
        <f>B33*C33</f>
        <v>36000000</v>
      </c>
    </row>
    <row r="34">
      <c r="A34" s="36" t="inlineStr">
        <is>
          <t>Pest Hunters · 122 площадки по 18 000 ₸, периодичность 1 раз за 40 дней — сумма из КП как есть, без пересчёта на год</t>
        </is>
      </c>
      <c r="B34" s="37">
        <f>Данные!$B$54</f>
        <v>2196000</v>
      </c>
      <c r="C34" s="37" t="n">
        <v>1</v>
      </c>
      <c r="D34" s="7">
        <f>B34*C34</f>
        <v>2196000</v>
      </c>
    </row>
    <row r="35"/>
    <row r="36" ht="26" customHeight="1">
      <c r="A36" s="1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7"/>
    <row r="38"/>
    <row r="39">
      <c r="A39" s="14" t="inlineStr">
        <is>
          <t>КОНТУР 1 И КОНТУР 2 ПО ПЛОЩАДКАМ, шт</t>
        </is>
      </c>
      <c r="B39" s="15" t="n"/>
      <c r="C39" s="15" t="n"/>
      <c r="D39" s="15" t="n"/>
    </row>
    <row r="40">
      <c r="A40" s="20" t="inlineStr">
        <is>
          <t>Площадка</t>
        </is>
      </c>
      <c r="B40" s="21" t="inlineStr">
        <is>
          <t>1-й контур</t>
        </is>
      </c>
      <c r="C40" s="21" t="inlineStr">
        <is>
          <t>2-й контур</t>
        </is>
      </c>
    </row>
    <row r="41">
      <c r="A41" s="6" t="inlineStr">
        <is>
          <t>Площадка А</t>
        </is>
      </c>
      <c r="B41" s="38">
        <f>Данные!$B$22</f>
        <v>13</v>
      </c>
      <c r="C41" s="38">
        <f>Данные!$C$22</f>
        <v>147</v>
      </c>
    </row>
    <row r="42">
      <c r="A42" s="6" t="inlineStr">
        <is>
          <t>Площадка Б</t>
        </is>
      </c>
      <c r="B42" s="38">
        <f>Данные!$B$23</f>
        <v>17</v>
      </c>
      <c r="C42" s="38">
        <f>Данные!$C$23</f>
        <v>146</v>
      </c>
    </row>
    <row r="43">
      <c r="A43" s="6" t="inlineStr">
        <is>
          <t>В / Восточка</t>
        </is>
      </c>
      <c r="B43" s="38">
        <f>Данные!$B$24</f>
        <v>50</v>
      </c>
      <c r="C43" s="38">
        <f>Данные!$C$24</f>
        <v>239</v>
      </c>
    </row>
    <row r="44">
      <c r="A44" s="6" t="inlineStr">
        <is>
          <t>Площадка Г</t>
        </is>
      </c>
      <c r="B44" s="38">
        <f>Данные!$B$25</f>
        <v>17</v>
      </c>
      <c r="C44" s="38">
        <f>Данные!$C$25</f>
        <v>88</v>
      </c>
    </row>
    <row r="45">
      <c r="A45" s="6" t="inlineStr">
        <is>
          <t>Площадка Д</t>
        </is>
      </c>
      <c r="B45" s="38">
        <f>Данные!$B$26</f>
        <v>15</v>
      </c>
      <c r="C45" s="38">
        <f>Данные!$C$26</f>
        <v>69</v>
      </c>
    </row>
    <row r="46">
      <c r="A46" s="6" t="inlineStr">
        <is>
          <t>Площадка Е</t>
        </is>
      </c>
      <c r="B46" s="38">
        <f>Данные!$B$27</f>
        <v>13</v>
      </c>
      <c r="C46" s="38">
        <f>Данные!$C$27</f>
        <v>147</v>
      </c>
    </row>
    <row r="47">
      <c r="A47" s="6" t="inlineStr">
        <is>
          <t>Площадка Ж</t>
        </is>
      </c>
      <c r="B47" s="38">
        <f>Данные!$B$28</f>
        <v>17</v>
      </c>
      <c r="C47" s="38">
        <f>Данные!$C$28</f>
        <v>73</v>
      </c>
    </row>
    <row r="48">
      <c r="A48" s="6" t="inlineStr">
        <is>
          <t>Айыртау</t>
        </is>
      </c>
      <c r="B48" s="38">
        <f>Данные!$B$29</f>
        <v>19</v>
      </c>
      <c r="C48" s="38">
        <f>Данные!$C$29</f>
        <v>187</v>
      </c>
    </row>
    <row r="49">
      <c r="A49" s="39" t="inlineStr">
        <is>
          <t>Итого по площадкам</t>
        </is>
      </c>
      <c r="B49" s="40">
        <f>SUM(B41:B48)</f>
        <v>161</v>
      </c>
      <c r="C49" s="40">
        <f>SUM(C41:C48)</f>
        <v>1096</v>
      </c>
    </row>
    <row r="50"/>
    <row r="51">
      <c r="A51" s="14" t="inlineStr">
        <is>
          <t>ШТАТ УКПФ ПО БРОЙЛЕРНЫМ ПЛОЩАДКАМ — ДЕТАЛЬНАЯ РАСШИФРОВКА</t>
        </is>
      </c>
      <c r="B51" s="15" t="n"/>
      <c r="C51" s="15" t="n"/>
      <c r="D51" s="15" t="n"/>
    </row>
    <row r="52">
      <c r="A52" s="23" t="inlineStr">
        <is>
          <t>Статья</t>
        </is>
      </c>
      <c r="B52" s="5" t="inlineStr">
        <is>
          <t>₸/мес (разово — цена за шт)</t>
        </is>
      </c>
      <c r="C52" s="5" t="inlineStr">
        <is>
          <t>Мес.</t>
        </is>
      </c>
      <c r="D52" s="5" t="inlineStr">
        <is>
          <t>За год / разово, ₸</t>
        </is>
      </c>
    </row>
    <row r="53">
      <c r="A53" s="6" t="inlineStr">
        <is>
          <t>Приманочные станции 1-го контура · разовая закупка</t>
        </is>
      </c>
      <c r="B53" s="7">
        <f>B49*Данные!$B$9</f>
        <v>347760</v>
      </c>
      <c r="C53" s="30" t="inlineStr">
        <is>
          <t>разово</t>
        </is>
      </c>
      <c r="D53" s="7">
        <f>B49*Данные!$B$9</f>
        <v>347760</v>
      </c>
    </row>
    <row r="54">
      <c r="A54" s="6" t="inlineStr">
        <is>
          <t>Приманочные станции 2-го контура · разовая закупка</t>
        </is>
      </c>
      <c r="B54" s="7">
        <f>C49*Данные!$B$9</f>
        <v>2367360</v>
      </c>
      <c r="C54" s="30" t="inlineStr">
        <is>
          <t>разово</t>
        </is>
      </c>
      <c r="D54" s="7">
        <f>C49*Данные!$B$9</f>
        <v>2367360</v>
      </c>
    </row>
    <row r="55">
      <c r="A55" s="6" t="inlineStr">
        <is>
          <t>Клеевые станции 3-го контура, тёплый сезон</t>
        </is>
      </c>
      <c r="B55" s="7">
        <f>SUM(Данные!$D$22:$D$29)*Данные!$B$8</f>
        <v>42880</v>
      </c>
      <c r="C55" s="30">
        <f>Данные!$B$14</f>
        <v>7</v>
      </c>
      <c r="D55" s="7">
        <f>SUM(Данные!$D$22:$D$29)*Данные!$B$8*Данные!$B$14</f>
        <v>300160</v>
      </c>
    </row>
    <row r="56">
      <c r="A56" s="6" t="inlineStr">
        <is>
          <t>Клеевые станции 3-го контура, зимний сезон — объём вдвое</t>
        </is>
      </c>
      <c r="B56" s="7">
        <f>SUM(Данные!$D$22:$D$29)*2*Данные!$B$8</f>
        <v>85760</v>
      </c>
      <c r="C56" s="30">
        <f>Данные!$B$15</f>
        <v>5</v>
      </c>
      <c r="D56" s="7">
        <f>SUM(Данные!$D$22:$D$29)*2*Данные!$B$8*Данные!$B$15</f>
        <v>428800</v>
      </c>
    </row>
    <row r="57">
      <c r="A57" s="6" t="inlineStr">
        <is>
          <t>Зерноцид, 2-й контур</t>
        </is>
      </c>
      <c r="B57" s="7">
        <f>SUM(Данные!$G$22:$G$29)*Данные!$B$6</f>
        <v>11100</v>
      </c>
      <c r="C57" s="30">
        <f>Данные!$B$14</f>
        <v>7</v>
      </c>
      <c r="D57" s="7">
        <f>SUM(Данные!$G$22:$G$29)*Данные!$B$6*Данные!$B$14</f>
        <v>77700</v>
      </c>
    </row>
    <row r="58">
      <c r="A58" s="6" t="inlineStr">
        <is>
          <t>Pest Killer, брикеты</t>
        </is>
      </c>
      <c r="B58" s="7">
        <f>SUM(Данные!$F$22:$F$29)*Данные!$B$7</f>
        <v>61922.5</v>
      </c>
      <c r="C58" s="30">
        <f>Данные!$B$14</f>
        <v>7</v>
      </c>
      <c r="D58" s="7">
        <f>SUM(Данные!$F$22:$F$29)*Данные!$B$7*Данные!$B$14</f>
        <v>433457.5</v>
      </c>
    </row>
    <row r="59">
      <c r="A59" s="6" t="inlineStr">
        <is>
          <t>Бутылки, 1-й контур, тёплый сезон</t>
        </is>
      </c>
      <c r="B59" s="7">
        <f>B49*Данные!$B$10</f>
        <v>10948</v>
      </c>
      <c r="C59" s="30">
        <f>Данные!$B$14</f>
        <v>7</v>
      </c>
      <c r="D59" s="7">
        <f>B49*Данные!$B$10*Данные!$B$14</f>
        <v>76636</v>
      </c>
    </row>
    <row r="60">
      <c r="A60" s="11" t="inlineStr">
        <is>
          <t>ИТОГО МАТЕРИАЛЫ ПО ПЛОЩАДКАМ, ПЕРВЫЙ ГОД</t>
        </is>
      </c>
      <c r="B60" s="26" t="n"/>
      <c r="C60" s="26" t="n"/>
      <c r="D60" s="12">
        <f>SUM(D53:D59)</f>
        <v>4031873.5</v>
      </c>
    </row>
    <row r="61"/>
    <row r="62" ht="26" customHeight="1">
      <c r="A62" s="13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62:D62"/>
    <mergeCell ref="A36:D36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13" t="inlineStr">
        <is>
          <t>Indigo — КП от 19.08.2026, 48 ед. оборудования, цена с НДС. Pest Hunters — КП №26/75, 2 обхода в месяц, цена без НДС; по их расчёту 52 приманочных контейнера и 60 живоловок.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1440000</v>
      </c>
      <c r="D5" s="35">
        <f>D11+D12+D13+D14+D15+D16</f>
        <v>184205.5</v>
      </c>
    </row>
    <row r="6"/>
    <row r="7">
      <c r="A7" s="14" t="inlineStr">
        <is>
          <t>ДЕРАТИЗАЦИЯ — ЧТО ВХОДИТ В СРАВНЕНИЕ</t>
        </is>
      </c>
      <c r="B7" s="15" t="n"/>
      <c r="C7" s="15" t="n"/>
      <c r="D7" s="15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Данные!$B$43</f>
        <v>126200</v>
      </c>
      <c r="C9" s="37" t="n">
        <v>12</v>
      </c>
      <c r="D9" s="8">
        <f>B9*C9</f>
        <v>1514400</v>
      </c>
    </row>
    <row r="10">
      <c r="A10" s="36" t="inlineStr">
        <is>
          <t>Pest Hunters · КП №26/75, 2 обхода в месяц, без НДС</t>
        </is>
      </c>
      <c r="B10" s="37">
        <f>Данные!$B$60</f>
        <v>120000</v>
      </c>
      <c r="C10" s="37" t="n">
        <v>12</v>
      </c>
      <c r="D10" s="8">
        <f>B10*C10</f>
        <v>1440000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112320</v>
      </c>
      <c r="C11" s="37" t="n">
        <v>1</v>
      </c>
      <c r="D11" s="8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1920</v>
      </c>
      <c r="C12" s="37">
        <f>Данные!$B$14</f>
        <v>7</v>
      </c>
      <c r="D12" s="8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3840</v>
      </c>
      <c r="C13" s="37">
        <f>Данные!$B$15</f>
        <v>5</v>
      </c>
      <c r="D13" s="8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740</v>
      </c>
      <c r="C14" s="37">
        <f>Данные!$B$14</f>
        <v>7</v>
      </c>
      <c r="D14" s="8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Данные!$B$14</f>
        <v>7</v>
      </c>
      <c r="D15" s="8">
        <f>B15*C15</f>
        <v>25497.5</v>
      </c>
    </row>
    <row r="16">
      <c r="A16" s="36" t="inlineStr">
        <is>
          <t>Штат УКПФ · Бутылки, 1-й контур, тёплый сезон</t>
        </is>
      </c>
      <c r="B16" s="37">
        <f>Данные!$B$20*Данные!$B$10</f>
        <v>1224</v>
      </c>
      <c r="C16" s="37">
        <f>Данные!$B$14</f>
        <v>7</v>
      </c>
      <c r="D16" s="8">
        <f>B16*C16</f>
        <v>8568</v>
      </c>
    </row>
    <row r="17"/>
    <row r="18">
      <c r="A18" s="14" t="inlineStr">
        <is>
          <t>АЛЬТЕРНАТИВНЫЕ ВАРИАНТЫ И ПРИВЕДЕНИЕ К НДС</t>
        </is>
      </c>
      <c r="B18" s="15" t="n"/>
      <c r="C18" s="15" t="n"/>
      <c r="D18" s="15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6" t="inlineStr">
        <is>
          <t>Indigo Solutions · частичная замена оборудования</t>
        </is>
      </c>
      <c r="B20" s="37">
        <f>Данные!$B$44</f>
        <v>106800</v>
      </c>
      <c r="C20" s="37" t="n">
        <v>12</v>
      </c>
      <c r="D20" s="7">
        <f>B20*C20</f>
        <v>1281600</v>
      </c>
    </row>
    <row r="21">
      <c r="A21" s="36" t="inlineStr">
        <is>
          <t>Pest Hunters · та же цена, приведённая к НДС для сопоставимости с Indigo</t>
        </is>
      </c>
      <c r="B21" s="37">
        <f>Данные!$B$60*(1+Данные!$B$64)</f>
        <v>139200</v>
      </c>
      <c r="C21" s="37" t="n">
        <v>12</v>
      </c>
      <c r="D21" s="7">
        <f>B21*C21</f>
        <v>1670400</v>
      </c>
    </row>
    <row r="22"/>
    <row r="23">
      <c r="A23" s="14" t="inlineStr">
        <is>
          <t>СПРАВОЧНО: ДЕЗИНСЕКЦИЯ — В СРАВНЕНИЕ НЕ ВХОДИТ</t>
        </is>
      </c>
      <c r="B23" s="15" t="n"/>
      <c r="C23" s="15" t="n"/>
      <c r="D23" s="15" t="n"/>
    </row>
    <row r="24">
      <c r="A24" s="20" t="inlineStr">
        <is>
          <t>Статья</t>
        </is>
      </c>
      <c r="B24" s="21" t="inlineStr">
        <is>
          <t>Цена в месяц, ₸</t>
        </is>
      </c>
      <c r="C24" s="21" t="inlineStr">
        <is>
          <t>Месяцев</t>
        </is>
      </c>
      <c r="D24" s="21" t="inlineStr">
        <is>
          <t>За год, ₸</t>
        </is>
      </c>
    </row>
    <row r="25">
      <c r="A25" s="36" t="inlineStr">
        <is>
          <t>Indigo Solutions · дезинсекция</t>
        </is>
      </c>
      <c r="B25" s="37">
        <f>Данные!$B$50</f>
        <v>100800</v>
      </c>
      <c r="C25" s="37" t="n">
        <v>12</v>
      </c>
      <c r="D25" s="7">
        <f>B25*C25</f>
        <v>1209600</v>
      </c>
    </row>
    <row r="26">
      <c r="A26" s="36" t="inlineStr">
        <is>
          <t>Pest Hunters · дезинсекция, КП №26/75, без НДС</t>
        </is>
      </c>
      <c r="B26" s="37">
        <f>Данные!$B$61</f>
        <v>100000</v>
      </c>
      <c r="C26" s="37" t="n">
        <v>12</v>
      </c>
      <c r="D26" s="7">
        <f>B26*C26</f>
        <v>1200000</v>
      </c>
    </row>
    <row r="27"/>
    <row r="28" ht="26" customHeight="1">
      <c r="A28" s="13" t="inlineStr">
        <is>
          <t>Внимание: цены несопоставимы напрямую. У Indigo 126 200 ₸ уже с НДС, у Pest Hunters 120 000 ₸ без НДС. С НДС 16 % Pest Hunters даёт 139 200 ₸/мес (1 670 400 ₸/год) — это дороже Indigo. Сравнивать нужно строку «приведённая к НДС».</t>
        </is>
      </c>
    </row>
    <row r="29" ht="26" customHeight="1">
      <c r="A29" s="1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1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4" t="inlineStr">
        <is>
          <t>ДЕРАТИЗАЦИЯ — ЧТО ВХОДИТ В СРАВНЕНИЕ</t>
        </is>
      </c>
      <c r="B7" s="15" t="n"/>
      <c r="C7" s="15" t="n"/>
      <c r="D7" s="15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Данные!$B$45</f>
        <v>126200</v>
      </c>
      <c r="C9" s="37" t="n">
        <v>12</v>
      </c>
      <c r="D9" s="8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Данные!$B$59</f>
        <v>180000</v>
      </c>
      <c r="C10" s="37" t="n">
        <v>12</v>
      </c>
      <c r="D10" s="8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8">
        <f>B11*C11</f>
        <v>0</v>
      </c>
    </row>
    <row r="12"/>
    <row r="13">
      <c r="A13" s="14" t="inlineStr">
        <is>
          <t>АЛЬТЕРНАТИВНЫЙ ВАРИАНТ INDIGO</t>
        </is>
      </c>
      <c r="B13" s="15" t="n"/>
      <c r="C13" s="15" t="n"/>
      <c r="D13" s="15" t="n"/>
    </row>
    <row r="14">
      <c r="A14" s="20" t="inlineStr">
        <is>
          <t>Статья</t>
        </is>
      </c>
      <c r="B14" s="21" t="inlineStr">
        <is>
          <t>Цена в месяц, ₸</t>
        </is>
      </c>
      <c r="C14" s="21" t="inlineStr">
        <is>
          <t>Месяцев</t>
        </is>
      </c>
      <c r="D14" s="21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Данные!$B$46</f>
        <v>106800</v>
      </c>
      <c r="C15" s="37" t="n">
        <v>12</v>
      </c>
      <c r="D15" s="7">
        <f>B15*C15</f>
        <v>1281600</v>
      </c>
    </row>
    <row r="16"/>
    <row r="17">
      <c r="A17" s="14" t="inlineStr">
        <is>
          <t>СПРАВОЧНО: ДЕЗИНСЕКЦИЯ — В СРАВНЕНИЕ НЕ ВХОДИТ</t>
        </is>
      </c>
      <c r="B17" s="15" t="n"/>
      <c r="C17" s="15" t="n"/>
      <c r="D17" s="15" t="n"/>
    </row>
    <row r="18">
      <c r="A18" s="20" t="inlineStr">
        <is>
          <t>Статья</t>
        </is>
      </c>
      <c r="B18" s="21" t="inlineStr">
        <is>
          <t>Цена в месяц, ₸</t>
        </is>
      </c>
      <c r="C18" s="21" t="inlineStr">
        <is>
          <t>Месяцев</t>
        </is>
      </c>
      <c r="D18" s="21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Данные!$B$51</f>
        <v>160800</v>
      </c>
      <c r="C19" s="37" t="n">
        <v>12</v>
      </c>
      <c r="D19" s="7">
        <f>B19*C19</f>
        <v>1929600</v>
      </c>
    </row>
    <row r="20"/>
    <row r="21" ht="26" customHeight="1">
      <c r="A21" s="1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13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13" t="inlineStr">
        <is>
          <t>Pest Hunters — КП №26/75 на 2026–2027: дератизация и дезинсекция вынесены отдельными строками, 2 обхода в месяц, цены без НДС.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480000</v>
      </c>
      <c r="D5" s="35">
        <f>D11</f>
        <v>0</v>
      </c>
    </row>
    <row r="6"/>
    <row r="7">
      <c r="A7" s="14" t="inlineStr">
        <is>
          <t>ДЕРАТИЗАЦИЯ — ЧТО ВХОДИТ В СРАВНЕНИЕ</t>
        </is>
      </c>
      <c r="B7" s="15" t="n"/>
      <c r="C7" s="15" t="n"/>
      <c r="D7" s="15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8">
        <f>B9*C9</f>
        <v>0</v>
      </c>
    </row>
    <row r="10">
      <c r="A10" s="36" t="inlineStr">
        <is>
          <t>Pest Hunters · КП №26/75, только дератизация, 2 обхода в месяц</t>
        </is>
      </c>
      <c r="B10" s="37">
        <f>Данные!$B$62</f>
        <v>40000</v>
      </c>
      <c r="C10" s="37" t="n">
        <v>12</v>
      </c>
      <c r="D10" s="8">
        <f>B10*C10</f>
        <v>480000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8">
        <f>B11*C11</f>
        <v>0</v>
      </c>
    </row>
    <row r="12"/>
    <row r="13">
      <c r="A13" s="14" t="inlineStr">
        <is>
          <t>СПРАВОЧНО: ДЕЗИНСЕКЦИЯ — В СРАВНЕНИЕ НЕ ВХОДИТ</t>
        </is>
      </c>
      <c r="B13" s="15" t="n"/>
      <c r="C13" s="15" t="n"/>
      <c r="D13" s="15" t="n"/>
    </row>
    <row r="14">
      <c r="A14" s="20" t="inlineStr">
        <is>
          <t>Статья</t>
        </is>
      </c>
      <c r="B14" s="21" t="inlineStr">
        <is>
          <t>Цена в месяц, ₸</t>
        </is>
      </c>
      <c r="C14" s="21" t="inlineStr">
        <is>
          <t>Месяцев</t>
        </is>
      </c>
      <c r="D14" s="21" t="inlineStr">
        <is>
          <t>За год, ₸</t>
        </is>
      </c>
    </row>
    <row r="15">
      <c r="A15" s="36" t="inlineStr">
        <is>
          <t>Pest Hunters · дезинсекция, КП №26/75</t>
        </is>
      </c>
      <c r="B15" s="37">
        <f>Данные!$B$63</f>
        <v>40000</v>
      </c>
      <c r="C15" s="37" t="n">
        <v>12</v>
      </c>
      <c r="D15" s="7">
        <f>B15*C15</f>
        <v>480000</v>
      </c>
    </row>
    <row r="16"/>
    <row r="17">
      <c r="A17" s="14" t="inlineStr">
        <is>
          <t>СПРАВОЧНО: ДЕЙСТВУЮЩИЙ ДОГОВОР №921</t>
        </is>
      </c>
      <c r="B17" s="15" t="n"/>
      <c r="C17" s="15" t="n"/>
      <c r="D17" s="15" t="n"/>
    </row>
    <row r="18">
      <c r="A18" s="20" t="inlineStr">
        <is>
          <t>Статья</t>
        </is>
      </c>
      <c r="B18" s="21" t="inlineStr">
        <is>
          <t>Цена в месяц, ₸</t>
        </is>
      </c>
      <c r="C18" s="21" t="inlineStr">
        <is>
          <t>Месяцев</t>
        </is>
      </c>
      <c r="D18" s="21" t="inlineStr">
        <is>
          <t>За год, ₸</t>
        </is>
      </c>
    </row>
    <row r="19">
      <c r="A19" s="36" t="inlineStr">
        <is>
          <t>Pest Hunters · договор №921 от 01.04.2026: дератизация и дезинсекция одной суммой, 1 обход в месяц, апрель — декабрь</t>
        </is>
      </c>
      <c r="B19" s="37" t="n">
        <v>80000</v>
      </c>
      <c r="C19" s="37">
        <f>Данные!$B$67</f>
        <v>9</v>
      </c>
      <c r="D19" s="7">
        <f>B19*C19</f>
        <v>720000</v>
      </c>
    </row>
    <row r="20"/>
    <row r="21" ht="26" customHeight="1">
      <c r="A21" s="13" t="inlineStr">
        <is>
          <t>Раньше по складу в сравнение шли 80 000 ₸/мес из договора №921, но эта сумма включает и дезинсекцию. В КП №26/75 услуги разделены: дератизация 40 000 ₸/мес — только она и участвует в сравнении.</t>
        </is>
      </c>
    </row>
    <row r="22" ht="26" customHeight="1">
      <c r="A22" s="13" t="inlineStr">
        <is>
          <t>КП №26/75 при той же общей сумме 80 000 ₸/мес даёт 2 обхода в месяц вместо одного по действующему договору.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1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D11+D12+D13+D14+D15+D16</f>
        <v>288746.75</v>
      </c>
    </row>
    <row r="6"/>
    <row r="7">
      <c r="A7" s="14" t="inlineStr">
        <is>
          <t>ДЕРАТИЗАЦИЯ — ЧТО ВХОДИТ В СРАВНЕНИЕ</t>
        </is>
      </c>
      <c r="B7" s="15" t="n"/>
      <c r="C7" s="15" t="n"/>
      <c r="D7" s="15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8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8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84240</v>
      </c>
      <c r="C11" s="37" t="n">
        <v>1</v>
      </c>
      <c r="D11" s="8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10080</v>
      </c>
      <c r="C12" s="37">
        <f>Данные!$B$14</f>
        <v>7</v>
      </c>
      <c r="D12" s="8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20160</v>
      </c>
      <c r="C13" s="37">
        <f>Данные!$B$15</f>
        <v>5</v>
      </c>
      <c r="D13" s="8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0</v>
      </c>
      <c r="C14" s="37">
        <f>Данные!$B$14</f>
        <v>7</v>
      </c>
      <c r="D14" s="8">
        <f>B14*C14</f>
        <v>0</v>
      </c>
    </row>
    <row r="15">
      <c r="A15" s="36" t="inlineStr">
        <is>
          <t>Штат УКПФ · Pest Killer, брикеты</t>
        </is>
      </c>
      <c r="B15" s="37">
        <f>Данные!$F$21*Данные!$B$7</f>
        <v>4735.25</v>
      </c>
      <c r="C15" s="37">
        <f>Данные!$B$14</f>
        <v>7</v>
      </c>
      <c r="D15" s="8">
        <f>B15*C15</f>
        <v>33146.75</v>
      </c>
    </row>
    <row r="16">
      <c r="A16" s="36" t="inlineStr">
        <is>
          <t>Штат УКПФ · Бутылки, 1-й контур, тёплый сезон</t>
        </is>
      </c>
      <c r="B16" s="37">
        <f>Данные!$B$21*Данные!$B$10</f>
        <v>0</v>
      </c>
      <c r="C16" s="37">
        <f>Данные!$B$14</f>
        <v>7</v>
      </c>
      <c r="D16" s="8">
        <f>B16*C16</f>
        <v>0</v>
      </c>
    </row>
    <row r="17"/>
    <row r="18" ht="26" customHeight="1">
      <c r="A18" s="1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1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4" t="inlineStr">
        <is>
          <t>ФОНД ОПЛАТЫ ТРУДА</t>
        </is>
      </c>
      <c r="B4" s="15" t="n"/>
      <c r="C4" s="15" t="n"/>
      <c r="D4" s="15" t="n"/>
      <c r="E4" s="15" t="n"/>
    </row>
    <row r="5">
      <c r="A5" s="28" t="inlineStr">
        <is>
          <t>Показатель, ₸</t>
        </is>
      </c>
      <c r="B5" s="28" t="inlineStr">
        <is>
          <t>Оклад 258 488 ₸</t>
        </is>
      </c>
      <c r="C5" s="28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Данные!$B$11</f>
        <v>258488</v>
      </c>
      <c r="C6" s="7">
        <f>Данные!$B$12</f>
        <v>350000</v>
      </c>
    </row>
    <row r="7">
      <c r="A7" s="6" t="inlineStr">
        <is>
          <t>Численность, чел.</t>
        </is>
      </c>
      <c r="B7" s="7">
        <f>Данные!$B$13</f>
        <v>5</v>
      </c>
      <c r="C7" s="7">
        <f>Данные!$B$13</f>
        <v>5</v>
      </c>
    </row>
    <row r="8">
      <c r="A8" s="6" t="inlineStr">
        <is>
          <t>Зарплата в месяц</t>
        </is>
      </c>
      <c r="B8" s="7">
        <f>B6*B7</f>
        <v>1292440</v>
      </c>
      <c r="C8" s="7">
        <f>C6*C7</f>
        <v>1750000</v>
      </c>
    </row>
    <row r="9">
      <c r="A9" s="41" t="inlineStr">
        <is>
          <t>Зарплата за год</t>
        </is>
      </c>
      <c r="B9" s="8">
        <f>B8*12</f>
        <v>15509280</v>
      </c>
      <c r="C9" s="8">
        <f>C8*12</f>
        <v>21000000</v>
      </c>
    </row>
    <row r="10"/>
    <row r="11">
      <c r="A11" s="14" t="inlineStr">
        <is>
          <t>МАТЕРИАЛЫ ПО ОБЪЕКТАМ — СТАНЦИИ (РАЗОВАЯ ЗАКУПКА), ЯДЫ И БУТЫЛКИ (ТОЛЬКО ТЁПЛЫЙ СЕЗОН) РАЗДЕЛЬНО</t>
        </is>
      </c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</row>
    <row r="12">
      <c r="A12" s="16" t="inlineStr">
        <is>
          <t>Объект</t>
        </is>
      </c>
      <c r="B12" s="17" t="inlineStr">
        <is>
          <t>Станций 1–2 к., шт</t>
        </is>
      </c>
      <c r="C12" s="17" t="inlineStr">
        <is>
          <t>Станции 1–2 к., разово, ₸</t>
        </is>
      </c>
      <c r="D12" s="17" t="inlineStr">
        <is>
          <t>Клеевых 3-го к., шт/мес лето</t>
        </is>
      </c>
      <c r="E12" s="17" t="inlineStr">
        <is>
          <t>Клеевых 3-го к., шт/мес зима</t>
        </is>
      </c>
      <c r="F12" s="17" t="inlineStr">
        <is>
          <t>Клеевые за год, ₸</t>
        </is>
      </c>
      <c r="G12" s="17" t="inlineStr">
        <is>
          <t>Зерноцид, кг/мес</t>
        </is>
      </c>
      <c r="H12" s="17" t="inlineStr">
        <is>
          <t>Зерноцид за год, ₸</t>
        </is>
      </c>
      <c r="I12" s="17" t="inlineStr">
        <is>
          <t>Pest Killer, кг/мес</t>
        </is>
      </c>
      <c r="J12" s="17" t="inlineStr">
        <is>
          <t>Pest Killer за год, ₸</t>
        </is>
      </c>
      <c r="K12" s="17" t="inlineStr">
        <is>
          <t>Бутылки 1-го к., шт/мес</t>
        </is>
      </c>
      <c r="L12" s="17" t="inlineStr">
        <is>
          <t>Бутылки за год, ₸</t>
        </is>
      </c>
      <c r="M12" s="17" t="inlineStr">
        <is>
          <t>Материалы за год, ₸</t>
        </is>
      </c>
    </row>
    <row r="13">
      <c r="A13" s="6" t="inlineStr">
        <is>
          <t>ККЗ · кормоцех</t>
        </is>
      </c>
      <c r="B13" s="56">
        <f>Данные!$B$19+Данные!$C$19</f>
        <v>29</v>
      </c>
      <c r="C13" s="7">
        <f>B13*Данные!$B$9</f>
        <v>62640</v>
      </c>
      <c r="D13" s="56">
        <f>Данные!$D$19</f>
        <v>0</v>
      </c>
      <c r="E13" s="56">
        <f>Данные!$D$19*2</f>
        <v>0</v>
      </c>
      <c r="F13" s="7">
        <f>D13*Данные!$B$8*Данные!$B$14+E13*Данные!$B$8*Данные!$B$15</f>
        <v>0</v>
      </c>
      <c r="G13" s="57">
        <f>Данные!$G$19</f>
        <v>0</v>
      </c>
      <c r="H13" s="7">
        <f>G13*Данные!$B$6*Данные!$B$14</f>
        <v>0</v>
      </c>
      <c r="I13" s="57">
        <f>Данные!$F$19</f>
        <v>1</v>
      </c>
      <c r="J13" s="7">
        <f>I13*Данные!$B$7*Данные!$B$14</f>
        <v>25497.5</v>
      </c>
      <c r="K13" s="56">
        <f>Данные!$B$19</f>
        <v>0</v>
      </c>
      <c r="L13" s="7">
        <f>K13*Данные!$B$10*Данные!$B$14</f>
        <v>0</v>
      </c>
      <c r="M13" s="8">
        <f>C13+F13+H13+J13+L13</f>
        <v>88137.5</v>
      </c>
    </row>
    <row r="14">
      <c r="A14" s="6" t="inlineStr">
        <is>
          <t>Бройлерные площадки · 8 шт</t>
        </is>
      </c>
      <c r="B14" s="56">
        <f>SUM(Данные!$B$22:$B$29)+SUM(Данные!$C$22:$C$29)</f>
        <v>1257</v>
      </c>
      <c r="C14" s="7">
        <f>B14*Данные!$B$9</f>
        <v>2715120</v>
      </c>
      <c r="D14" s="56">
        <f>SUM(Данные!$D$22:$D$29)</f>
        <v>268</v>
      </c>
      <c r="E14" s="56">
        <f>SUM(Данные!$D$22:$D$29)*2</f>
        <v>536</v>
      </c>
      <c r="F14" s="7">
        <f>D14*Данные!$B$8*Данные!$B$14+E14*Данные!$B$8*Данные!$B$15</f>
        <v>728960</v>
      </c>
      <c r="G14" s="57">
        <f>SUM(Данные!$G$22:$G$29)</f>
        <v>15</v>
      </c>
      <c r="H14" s="7">
        <f>G14*Данные!$B$6*Данные!$B$14</f>
        <v>77700</v>
      </c>
      <c r="I14" s="57">
        <f>SUM(Данные!$F$22:$F$29)</f>
        <v>17</v>
      </c>
      <c r="J14" s="7">
        <f>I14*Данные!$B$7*Данные!$B$14</f>
        <v>433457.5</v>
      </c>
      <c r="K14" s="56">
        <f>SUM(Данные!$B$22:$B$29)</f>
        <v>161</v>
      </c>
      <c r="L14" s="7">
        <f>K14*Данные!$B$10*Данные!$B$14</f>
        <v>76636</v>
      </c>
      <c r="M14" s="8">
        <f>C14+F14+H14+J14+L14</f>
        <v>4031873.5</v>
      </c>
    </row>
    <row r="15">
      <c r="A15" s="6" t="inlineStr">
        <is>
          <t>Инкубаторий</t>
        </is>
      </c>
      <c r="B15" s="56">
        <f>Данные!$B$20+Данные!$C$20</f>
        <v>52</v>
      </c>
      <c r="C15" s="7">
        <f>B15*Данные!$B$9</f>
        <v>112320</v>
      </c>
      <c r="D15" s="56">
        <f>Данные!$D$20</f>
        <v>12</v>
      </c>
      <c r="E15" s="56">
        <f>Данные!$D$20*2</f>
        <v>24</v>
      </c>
      <c r="F15" s="7">
        <f>D15*Данные!$B$8*Данные!$B$14+E15*Данные!$B$8*Данные!$B$15</f>
        <v>32640</v>
      </c>
      <c r="G15" s="57">
        <f>Данные!$G$20</f>
        <v>1</v>
      </c>
      <c r="H15" s="7">
        <f>G15*Данные!$B$6*Данные!$B$14</f>
        <v>5180</v>
      </c>
      <c r="I15" s="57">
        <f>Данные!$F$20</f>
        <v>1</v>
      </c>
      <c r="J15" s="7">
        <f>I15*Данные!$B$7*Данные!$B$14</f>
        <v>25497.5</v>
      </c>
      <c r="K15" s="56">
        <f>Данные!$B$20</f>
        <v>18</v>
      </c>
      <c r="L15" s="7">
        <f>K15*Данные!$B$10*Данные!$B$14</f>
        <v>8568</v>
      </c>
      <c r="M15" s="8">
        <f>C15+F15+H15+J15+L15</f>
        <v>184205.5</v>
      </c>
    </row>
    <row r="16">
      <c r="A16" s="6" t="inlineStr">
        <is>
          <t>АБК · 11 корпусов</t>
        </is>
      </c>
      <c r="B16" s="56">
        <f>Данные!$B$21+Данные!$C$21</f>
        <v>39</v>
      </c>
      <c r="C16" s="7">
        <f>B16*Данные!$B$9</f>
        <v>84240</v>
      </c>
      <c r="D16" s="56">
        <f>Данные!$D$21</f>
        <v>63</v>
      </c>
      <c r="E16" s="56">
        <f>Данные!$D$21*2</f>
        <v>126</v>
      </c>
      <c r="F16" s="7">
        <f>D16*Данные!$B$8*Данные!$B$14+E16*Данные!$B$8*Данные!$B$15</f>
        <v>171360</v>
      </c>
      <c r="G16" s="57">
        <f>Данные!$G$21</f>
        <v>0</v>
      </c>
      <c r="H16" s="7">
        <f>G16*Данные!$B$6*Данные!$B$14</f>
        <v>0</v>
      </c>
      <c r="I16" s="57">
        <f>Данные!$F$21</f>
        <v>1.3</v>
      </c>
      <c r="J16" s="7">
        <f>I16*Данные!$B$7*Данные!$B$14</f>
        <v>33146.75</v>
      </c>
      <c r="K16" s="56">
        <f>Данные!$B$21</f>
        <v>0</v>
      </c>
      <c r="L16" s="7">
        <f>K16*Данные!$B$10*Данные!$B$14</f>
        <v>0</v>
      </c>
      <c r="M16" s="8">
        <f>C16+F16+H16+J16+L16</f>
        <v>288746.75</v>
      </c>
    </row>
    <row r="17">
      <c r="A17" s="39" t="inlineStr">
        <is>
          <t>МАТЕРИАЛЫ, ПЕРВЫЙ ГОД ИТОГО (с разовой закупкой станций)</t>
        </is>
      </c>
      <c r="B17" s="26" t="n"/>
      <c r="C17" s="44">
        <f>SUM(C13:C16)</f>
        <v>2974320</v>
      </c>
      <c r="D17" s="26" t="n"/>
      <c r="E17" s="26" t="n"/>
      <c r="F17" s="44">
        <f>SUM(F13:F16)</f>
        <v>932960</v>
      </c>
      <c r="G17" s="58">
        <f>SUM(G13:G16)</f>
        <v>16</v>
      </c>
      <c r="H17" s="44">
        <f>SUM(H13:H16)</f>
        <v>82880</v>
      </c>
      <c r="I17" s="58">
        <f>SUM(I13:I16)</f>
        <v>20.3</v>
      </c>
      <c r="J17" s="44">
        <f>SUM(J13:J16)</f>
        <v>517599.25</v>
      </c>
      <c r="K17" s="26" t="n"/>
      <c r="L17" s="44">
        <f>SUM(L13:L16)</f>
        <v>85204</v>
      </c>
      <c r="M17" s="44">
        <f>SUM(M13:M16)</f>
        <v>4592963.25</v>
      </c>
    </row>
    <row r="18"/>
    <row r="19">
      <c r="A19" s="14" t="inlineStr">
        <is>
          <t>ЧИСЛЕННОСТЬ: СКОЛЬКО СТОИТ ШТАТ ПРИ РАЗНОМ ЧИСЛЕ ЛЮДЕЙ</t>
        </is>
      </c>
      <c r="B19" s="15" t="n"/>
      <c r="C19" s="15" t="n"/>
      <c r="D19" s="15" t="n"/>
      <c r="E19" s="15" t="n"/>
      <c r="F19" s="15" t="n"/>
    </row>
    <row r="20">
      <c r="A20" s="16" t="inlineStr">
        <is>
          <t>Численность, чел.</t>
        </is>
      </c>
      <c r="B20" s="17" t="inlineStr">
        <is>
          <t>ЗП в месяц, ₸ · оклад 258 488</t>
        </is>
      </c>
      <c r="C20" s="17" t="inlineStr">
        <is>
          <t>ЗП за год, ₸ · оклад 258 488</t>
        </is>
      </c>
      <c r="D20" s="17" t="inlineStr">
        <is>
          <t>Материалы за год, ₸</t>
        </is>
      </c>
      <c r="E20" s="17" t="inlineStr">
        <is>
          <t>Итого за год, ₸ · оклад 258 488</t>
        </is>
      </c>
      <c r="F20" s="17" t="inlineStr">
        <is>
          <t>Итого за год, ₸ · оклад 350 000</t>
        </is>
      </c>
    </row>
    <row r="21">
      <c r="A21" s="7" t="n">
        <v>2</v>
      </c>
      <c r="B21" s="7">
        <f>A21*Данные!$B$11</f>
        <v>516976</v>
      </c>
      <c r="C21" s="7">
        <f>B21*12</f>
        <v>6203712</v>
      </c>
      <c r="D21" s="7">
        <f>'Штат УКПФ'!$M$17</f>
        <v>4592963.25</v>
      </c>
      <c r="E21" s="8">
        <f>C21+D21</f>
        <v>10796675.25</v>
      </c>
      <c r="F21" s="8">
        <f>A21*Данные!$B$12*12+D21</f>
        <v>12992963.25</v>
      </c>
    </row>
    <row r="22">
      <c r="A22" s="7" t="n">
        <v>3</v>
      </c>
      <c r="B22" s="7">
        <f>A22*Данные!$B$11</f>
        <v>775464</v>
      </c>
      <c r="C22" s="7">
        <f>B22*12</f>
        <v>9305568</v>
      </c>
      <c r="D22" s="7">
        <f>'Штат УКПФ'!$M$17</f>
        <v>4592963.25</v>
      </c>
      <c r="E22" s="8">
        <f>C22+D22</f>
        <v>13898531.25</v>
      </c>
      <c r="F22" s="8">
        <f>A22*Данные!$B$12*12+D22</f>
        <v>17192963.25</v>
      </c>
    </row>
    <row r="23">
      <c r="A23" s="7" t="n">
        <v>4</v>
      </c>
      <c r="B23" s="7">
        <f>A23*Данные!$B$11</f>
        <v>1033952</v>
      </c>
      <c r="C23" s="7">
        <f>B23*12</f>
        <v>12407424</v>
      </c>
      <c r="D23" s="7">
        <f>'Штат УКПФ'!$M$17</f>
        <v>4592963.25</v>
      </c>
      <c r="E23" s="8">
        <f>C23+D23</f>
        <v>17000387.25</v>
      </c>
      <c r="F23" s="8">
        <f>A23*Данные!$B$12*12+D23</f>
        <v>21392963.25</v>
      </c>
    </row>
    <row r="24">
      <c r="A24" s="7" t="n">
        <v>5</v>
      </c>
      <c r="B24" s="7">
        <f>A24*Данные!$B$11</f>
        <v>1292440</v>
      </c>
      <c r="C24" s="7">
        <f>B24*12</f>
        <v>15509280</v>
      </c>
      <c r="D24" s="7">
        <f>'Штат УКПФ'!$M$17</f>
        <v>4592963.25</v>
      </c>
      <c r="E24" s="8">
        <f>C24+D24</f>
        <v>20102243.25</v>
      </c>
      <c r="F24" s="8">
        <f>A24*Данные!$B$12*12+D24</f>
        <v>25592963.25</v>
      </c>
    </row>
    <row r="25">
      <c r="A25" s="7" t="n">
        <v>6</v>
      </c>
      <c r="B25" s="7">
        <f>A25*Данные!$B$11</f>
        <v>1550928</v>
      </c>
      <c r="C25" s="7">
        <f>B25*12</f>
        <v>18611136</v>
      </c>
      <c r="D25" s="7">
        <f>'Штат УКПФ'!$M$17</f>
        <v>4592963.25</v>
      </c>
      <c r="E25" s="8">
        <f>C25+D25</f>
        <v>23204099.25</v>
      </c>
      <c r="F25" s="8">
        <f>A25*Данные!$B$12*12+D25</f>
        <v>29792963.25</v>
      </c>
    </row>
    <row r="26">
      <c r="A26" s="7" t="n">
        <v>7</v>
      </c>
      <c r="B26" s="7">
        <f>A26*Данные!$B$11</f>
        <v>1809416</v>
      </c>
      <c r="C26" s="7">
        <f>B26*12</f>
        <v>21712992</v>
      </c>
      <c r="D26" s="7">
        <f>'Штат УКПФ'!$M$17</f>
        <v>4592963.25</v>
      </c>
      <c r="E26" s="8">
        <f>C26+D26</f>
        <v>26305955.25</v>
      </c>
      <c r="F26" s="8">
        <f>A26*Данные!$B$12*12+D26</f>
        <v>33992963.25</v>
      </c>
    </row>
    <row r="27">
      <c r="A27" s="7" t="n">
        <v>8</v>
      </c>
      <c r="B27" s="7">
        <f>A27*Данные!$B$11</f>
        <v>2067904</v>
      </c>
      <c r="C27" s="7">
        <f>B27*12</f>
        <v>24814848</v>
      </c>
      <c r="D27" s="7">
        <f>'Штат УКПФ'!$M$17</f>
        <v>4592963.25</v>
      </c>
      <c r="E27" s="8">
        <f>C27+D27</f>
        <v>29407811.25</v>
      </c>
      <c r="F27" s="8">
        <f>A27*Данные!$B$12*12+D27</f>
        <v>38192963.25</v>
      </c>
    </row>
    <row r="28">
      <c r="A28" s="7" t="n">
        <v>9</v>
      </c>
      <c r="B28" s="7">
        <f>A28*Данные!$B$11</f>
        <v>2326392</v>
      </c>
      <c r="C28" s="7">
        <f>B28*12</f>
        <v>27916704</v>
      </c>
      <c r="D28" s="7">
        <f>'Штат УКПФ'!$M$17</f>
        <v>4592963.25</v>
      </c>
      <c r="E28" s="8">
        <f>C28+D28</f>
        <v>32509667.25</v>
      </c>
      <c r="F28" s="8">
        <f>A28*Данные!$B$12*12+D28</f>
        <v>42392963.25</v>
      </c>
    </row>
    <row r="29">
      <c r="A29" s="7" t="n">
        <v>10</v>
      </c>
      <c r="B29" s="7">
        <f>A29*Данные!$B$11</f>
        <v>2584880</v>
      </c>
      <c r="C29" s="7">
        <f>B29*12</f>
        <v>31018560</v>
      </c>
      <c r="D29" s="7">
        <f>'Штат УКПФ'!$M$17</f>
        <v>4592963.25</v>
      </c>
      <c r="E29" s="8">
        <f>C29+D29</f>
        <v>35611523.25</v>
      </c>
      <c r="F29" s="8">
        <f>A29*Данные!$B$12*12+D29</f>
        <v>46592963.25</v>
      </c>
    </row>
    <row r="30"/>
    <row r="31" ht="28" customHeight="1">
      <c r="A31" s="1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4" t="inlineStr">
        <is>
          <t>ЦЕНЫ И ПАРАМЕТРЫ ШТАТА УКПФ</t>
        </is>
      </c>
      <c r="B4" s="15" t="n"/>
      <c r="C4" s="15" t="n"/>
      <c r="D4" s="15" t="n"/>
      <c r="E4" s="15" t="n"/>
      <c r="F4" s="15" t="n"/>
      <c r="G4" s="15" t="n"/>
      <c r="H4" s="15" t="n"/>
    </row>
    <row r="5">
      <c r="A5" s="28" t="inlineStr">
        <is>
          <t>Показатель</t>
        </is>
      </c>
      <c r="B5" s="28" t="inlineStr">
        <is>
          <t>Значение</t>
        </is>
      </c>
      <c r="C5" s="28" t="inlineStr">
        <is>
          <t>Ед. изм.</t>
        </is>
      </c>
      <c r="D5" s="28" t="inlineStr"/>
      <c r="E5" s="28" t="inlineStr"/>
      <c r="F5" s="28" t="inlineStr"/>
      <c r="G5" s="28" t="inlineStr"/>
      <c r="H5" s="28" t="inlineStr">
        <is>
          <t>Источник / примечание</t>
        </is>
      </c>
    </row>
    <row r="6">
      <c r="A6" s="6" t="inlineStr">
        <is>
          <t>Зерноцид</t>
        </is>
      </c>
      <c r="B6" s="46" t="n">
        <v>740</v>
      </c>
      <c r="C6" s="6" t="inlineStr">
        <is>
          <t>₸/кг</t>
        </is>
      </c>
      <c r="H6" s="47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6" t="n">
        <v>3642.5</v>
      </c>
      <c r="C7" s="6" t="inlineStr">
        <is>
          <t>₸/кг</t>
        </is>
      </c>
      <c r="H7" s="47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6" t="n">
        <v>160</v>
      </c>
      <c r="C8" s="6" t="inlineStr">
        <is>
          <t>₸/шт</t>
        </is>
      </c>
      <c r="H8" s="47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6" t="n">
        <v>2160</v>
      </c>
      <c r="C9" s="6" t="inlineStr">
        <is>
          <t>₸/шт</t>
        </is>
      </c>
      <c r="H9" s="47" t="inlineStr">
        <is>
          <t>разовая закупка оборудования; цена из прежнего расчёта по ККЗ</t>
        </is>
      </c>
    </row>
    <row r="10">
      <c r="A10" s="6" t="inlineStr">
        <is>
          <t>Бутылка</t>
        </is>
      </c>
      <c r="B10" s="46" t="n">
        <v>68</v>
      </c>
      <c r="C10" s="6" t="inlineStr">
        <is>
          <t>₸/шт</t>
        </is>
      </c>
      <c r="H10" s="47" t="inlineStr">
        <is>
          <t>внутренние данные УКПФ; расход = число точек 1-го контура, тёплый сезон</t>
        </is>
      </c>
    </row>
    <row r="11">
      <c r="A11" s="6" t="inlineStr">
        <is>
          <t>Оклад дератизатора · вариант 1</t>
        </is>
      </c>
      <c r="B11" s="46" t="n">
        <v>258488</v>
      </c>
      <c r="C11" s="6" t="inlineStr">
        <is>
          <t>₸/мес</t>
        </is>
      </c>
      <c r="H11" s="47" t="inlineStr">
        <is>
          <t>действующий оклад</t>
        </is>
      </c>
    </row>
    <row r="12">
      <c r="A12" s="6" t="inlineStr">
        <is>
          <t>Оклад дератизатора · вариант 2</t>
        </is>
      </c>
      <c r="B12" s="46" t="n">
        <v>350000</v>
      </c>
      <c r="C12" s="6" t="inlineStr">
        <is>
          <t>₸/мес</t>
        </is>
      </c>
      <c r="H12" s="47" t="inlineStr">
        <is>
          <t>альтернативный уровень для сравнения</t>
        </is>
      </c>
    </row>
    <row r="13">
      <c r="A13" s="6" t="inlineStr">
        <is>
          <t>Численность штата</t>
        </is>
      </c>
      <c r="B13" s="46" t="n">
        <v>5</v>
      </c>
      <c r="C13" s="6" t="inlineStr">
        <is>
          <t>чел.</t>
        </is>
      </c>
      <c r="H13" s="47" t="inlineStr">
        <is>
          <t>измените — пересчитаются все листы</t>
        </is>
      </c>
    </row>
    <row r="14">
      <c r="A14" s="6" t="inlineStr">
        <is>
          <t>Тёплых месяцев (апрель — октябрь)</t>
        </is>
      </c>
      <c r="B14" s="46" t="n">
        <v>7</v>
      </c>
      <c r="C14" s="6" t="inlineStr">
        <is>
          <t>мес.</t>
        </is>
      </c>
      <c r="H14" s="47" t="inlineStr">
        <is>
          <t>заряжаются все три контура</t>
        </is>
      </c>
    </row>
    <row r="15">
      <c r="A15" s="6" t="inlineStr">
        <is>
          <t>Зимних месяцев (ноябрь — март)</t>
        </is>
      </c>
      <c r="B15" s="46" t="n">
        <v>5</v>
      </c>
      <c r="C15" s="6" t="inlineStr">
        <is>
          <t>мес.</t>
        </is>
      </c>
      <c r="H15" s="47" t="inlineStr">
        <is>
          <t>1-й и 2-й контуры не заряжаются, 3-й обслуживается вдвое</t>
        </is>
      </c>
    </row>
    <row r="16"/>
    <row r="17">
      <c r="A17" s="14" t="inlineStr">
        <is>
          <t>ПРИМАНОЧНЫЕ СТАНЦИИ И НОРМЫ ЯДОВ ПО ОБЪЕКТАМ УКПФ</t>
        </is>
      </c>
      <c r="B17" s="15" t="n"/>
      <c r="C17" s="15" t="n"/>
      <c r="D17" s="15" t="n"/>
      <c r="E17" s="15" t="n"/>
      <c r="F17" s="15" t="n"/>
      <c r="G17" s="15" t="n"/>
      <c r="H17" s="15" t="n"/>
    </row>
    <row r="18">
      <c r="A18" s="16" t="inlineStr">
        <is>
          <t>Объект</t>
        </is>
      </c>
      <c r="B18" s="17" t="inlineStr">
        <is>
          <t>1-й контур, шт</t>
        </is>
      </c>
      <c r="C18" s="17" t="inlineStr">
        <is>
          <t>2-й контур, шт</t>
        </is>
      </c>
      <c r="D18" s="17" t="inlineStr">
        <is>
          <t>3-й контур, шт</t>
        </is>
      </c>
      <c r="E18" s="17" t="inlineStr">
        <is>
          <t>Всего точек, шт</t>
        </is>
      </c>
      <c r="F18" s="17" t="inlineStr">
        <is>
          <t>Pest Killer, кг</t>
        </is>
      </c>
      <c r="G18" s="17" t="inlineStr">
        <is>
          <t>Зерноцид, кг</t>
        </is>
      </c>
      <c r="H18" s="17" t="inlineStr">
        <is>
          <t>Примечание</t>
        </is>
      </c>
    </row>
    <row r="19">
      <c r="A19" s="6" t="inlineStr">
        <is>
          <t>ККЗ · кормоцех</t>
        </is>
      </c>
      <c r="B19" s="46" t="n">
        <v>0</v>
      </c>
      <c r="C19" s="46" t="n">
        <v>29</v>
      </c>
      <c r="D19" s="46" t="n">
        <v>0</v>
      </c>
      <c r="E19" s="7">
        <f>SUM(B19:D19)</f>
        <v>0</v>
      </c>
      <c r="F19" s="59" t="n">
        <v>1</v>
      </c>
      <c r="G19" s="59" t="n">
        <v>0</v>
      </c>
      <c r="H19" s="47" t="inlineStr">
        <is>
          <t>29 приманочных станций 2-го контура</t>
        </is>
      </c>
    </row>
    <row r="20">
      <c r="A20" s="6" t="inlineStr">
        <is>
          <t>Инкубаторий</t>
        </is>
      </c>
      <c r="B20" s="46" t="n">
        <v>18</v>
      </c>
      <c r="C20" s="46" t="n">
        <v>34</v>
      </c>
      <c r="D20" s="46" t="n">
        <v>12</v>
      </c>
      <c r="E20" s="7">
        <f>SUM(B20:D20)</f>
        <v>18</v>
      </c>
      <c r="F20" s="59" t="n">
        <v>1</v>
      </c>
      <c r="G20" s="59" t="n">
        <v>1</v>
      </c>
      <c r="H20" s="47" t="inlineStr"/>
    </row>
    <row r="21">
      <c r="A21" s="6" t="inlineStr">
        <is>
          <t>АБК · 11 корпусов</t>
        </is>
      </c>
      <c r="B21" s="46" t="n">
        <v>0</v>
      </c>
      <c r="C21" s="46" t="n">
        <v>39</v>
      </c>
      <c r="D21" s="46" t="n">
        <v>63</v>
      </c>
      <c r="E21" s="7">
        <f>SUM(B21:D21)</f>
        <v>0</v>
      </c>
      <c r="F21" s="59" t="n">
        <v>1.3</v>
      </c>
      <c r="G21" s="59" t="n">
        <v>0</v>
      </c>
      <c r="H21" s="47" t="inlineStr">
        <is>
          <t>1,3 кг — приблизительная оценка, требует подтверждения</t>
        </is>
      </c>
    </row>
    <row r="22">
      <c r="A22" s="6" t="inlineStr">
        <is>
          <t>Площадка А</t>
        </is>
      </c>
      <c r="B22" s="46" t="n">
        <v>13</v>
      </c>
      <c r="C22" s="46" t="n">
        <v>147</v>
      </c>
      <c r="D22" s="46" t="n">
        <v>20</v>
      </c>
      <c r="E22" s="7">
        <f>SUM(B22:D22)</f>
        <v>13</v>
      </c>
      <c r="F22" s="59" t="n">
        <v>2</v>
      </c>
      <c r="G22" s="59" t="n">
        <v>2</v>
      </c>
      <c r="H22" s="47" t="inlineStr"/>
    </row>
    <row r="23">
      <c r="A23" s="6" t="inlineStr">
        <is>
          <t>Площадка Б</t>
        </is>
      </c>
      <c r="B23" s="46" t="n">
        <v>17</v>
      </c>
      <c r="C23" s="46" t="n">
        <v>146</v>
      </c>
      <c r="D23" s="46" t="n">
        <v>20</v>
      </c>
      <c r="E23" s="7">
        <f>SUM(B23:D23)</f>
        <v>17</v>
      </c>
      <c r="F23" s="59" t="n">
        <v>2</v>
      </c>
      <c r="G23" s="59" t="n">
        <v>2</v>
      </c>
      <c r="H23" s="47" t="inlineStr"/>
    </row>
    <row r="24">
      <c r="A24" s="6" t="inlineStr">
        <is>
          <t>В / Восточка</t>
        </is>
      </c>
      <c r="B24" s="46" t="n">
        <v>50</v>
      </c>
      <c r="C24" s="46" t="n">
        <v>239</v>
      </c>
      <c r="D24" s="46" t="n">
        <v>30</v>
      </c>
      <c r="E24" s="7">
        <f>SUM(B24:D24)</f>
        <v>50</v>
      </c>
      <c r="F24" s="59" t="n">
        <v>3.5</v>
      </c>
      <c r="G24" s="59" t="n">
        <v>3</v>
      </c>
      <c r="H24" s="47" t="inlineStr"/>
    </row>
    <row r="25">
      <c r="A25" s="6" t="inlineStr">
        <is>
          <t>Площадка Г</t>
        </is>
      </c>
      <c r="B25" s="46" t="n">
        <v>17</v>
      </c>
      <c r="C25" s="46" t="n">
        <v>88</v>
      </c>
      <c r="D25" s="46" t="n">
        <v>80</v>
      </c>
      <c r="E25" s="7">
        <f>SUM(B25:D25)</f>
        <v>17</v>
      </c>
      <c r="F25" s="59" t="n">
        <v>2</v>
      </c>
      <c r="G25" s="59" t="n">
        <v>1</v>
      </c>
      <c r="H25" s="47" t="inlineStr"/>
    </row>
    <row r="26">
      <c r="A26" s="6" t="inlineStr">
        <is>
          <t>Площадка Д</t>
        </is>
      </c>
      <c r="B26" s="46" t="n">
        <v>15</v>
      </c>
      <c r="C26" s="46" t="n">
        <v>69</v>
      </c>
      <c r="D26" s="46" t="n">
        <v>64</v>
      </c>
      <c r="E26" s="7">
        <f>SUM(B26:D26)</f>
        <v>15</v>
      </c>
      <c r="F26" s="59" t="n">
        <v>1.5</v>
      </c>
      <c r="G26" s="59" t="n">
        <v>1</v>
      </c>
      <c r="H26" s="47" t="inlineStr"/>
    </row>
    <row r="27">
      <c r="A27" s="6" t="inlineStr">
        <is>
          <t>Площадка Е</t>
        </is>
      </c>
      <c r="B27" s="46" t="n">
        <v>13</v>
      </c>
      <c r="C27" s="46" t="n">
        <v>147</v>
      </c>
      <c r="D27" s="46" t="n">
        <v>20</v>
      </c>
      <c r="E27" s="7">
        <f>SUM(B27:D27)</f>
        <v>13</v>
      </c>
      <c r="F27" s="59" t="n">
        <v>2</v>
      </c>
      <c r="G27" s="59" t="n">
        <v>2</v>
      </c>
      <c r="H27" s="47" t="inlineStr"/>
    </row>
    <row r="28">
      <c r="A28" s="6" t="inlineStr">
        <is>
          <t>Площадка Ж</t>
        </is>
      </c>
      <c r="B28" s="46" t="n">
        <v>17</v>
      </c>
      <c r="C28" s="46" t="n">
        <v>73</v>
      </c>
      <c r="D28" s="46" t="n">
        <v>10</v>
      </c>
      <c r="E28" s="7">
        <f>SUM(B28:D28)</f>
        <v>17</v>
      </c>
      <c r="F28" s="59" t="n">
        <v>1</v>
      </c>
      <c r="G28" s="59" t="n">
        <v>1</v>
      </c>
      <c r="H28" s="47" t="inlineStr"/>
    </row>
    <row r="29">
      <c r="A29" s="6" t="inlineStr">
        <is>
          <t>Айыртау (БП)</t>
        </is>
      </c>
      <c r="B29" s="46" t="n">
        <v>19</v>
      </c>
      <c r="C29" s="46" t="n">
        <v>187</v>
      </c>
      <c r="D29" s="46" t="n">
        <v>24</v>
      </c>
      <c r="E29" s="7">
        <f>SUM(B29:D29)</f>
        <v>19</v>
      </c>
      <c r="F29" s="59" t="n">
        <v>3</v>
      </c>
      <c r="G29" s="59" t="n">
        <v>3</v>
      </c>
      <c r="H29" s="47" t="inlineStr"/>
    </row>
    <row r="30">
      <c r="A30" s="6" t="inlineStr">
        <is>
          <t>ЗПП · завод по переработке птицы</t>
        </is>
      </c>
      <c r="B30" s="7" t="n"/>
      <c r="C30" s="7" t="n"/>
      <c r="D30" s="7" t="n"/>
      <c r="E30" s="7" t="n"/>
      <c r="F30" s="57" t="n"/>
      <c r="G30" s="57" t="n"/>
      <c r="H30" s="47" t="inlineStr">
        <is>
          <t>нормы расхода не заданы</t>
        </is>
      </c>
    </row>
    <row r="31">
      <c r="A31" s="6" t="inlineStr">
        <is>
          <t>Склад лузги</t>
        </is>
      </c>
      <c r="B31" s="7" t="n"/>
      <c r="C31" s="7" t="n"/>
      <c r="D31" s="7" t="n"/>
      <c r="E31" s="7" t="n"/>
      <c r="F31" s="57" t="n"/>
      <c r="G31" s="57" t="n"/>
      <c r="H31" s="47" t="inlineStr">
        <is>
          <t>нормы расхода не заданы</t>
        </is>
      </c>
    </row>
    <row r="32">
      <c r="A32" s="39" t="inlineStr">
        <is>
          <t>ИТОГО ПО ФАБРИКЕ</t>
        </is>
      </c>
      <c r="B32" s="44">
        <f>SUM(B19:B31)</f>
        <v>179</v>
      </c>
      <c r="C32" s="44">
        <f>SUM(C19:C31)</f>
        <v>1198</v>
      </c>
      <c r="D32" s="44">
        <f>SUM(D19:D31)</f>
        <v>343</v>
      </c>
      <c r="E32" s="44">
        <f>SUM(E19:E31)</f>
        <v>179</v>
      </c>
      <c r="F32" s="58">
        <f>SUM(F19:F31)</f>
        <v>20.3</v>
      </c>
      <c r="G32" s="58">
        <f>SUM(G19:G31)</f>
        <v>16</v>
      </c>
      <c r="H32" s="26" t="n"/>
    </row>
    <row r="33"/>
    <row r="34">
      <c r="A34" s="14" t="inlineStr">
        <is>
          <t>ЦЕНЫ ПОДРЯДЧИКОВ ИЗ КП И ДОГОВОРОВ</t>
        </is>
      </c>
      <c r="B34" s="15" t="n"/>
      <c r="C34" s="15" t="n"/>
      <c r="D34" s="15" t="n"/>
      <c r="E34" s="15" t="n"/>
      <c r="F34" s="15" t="n"/>
      <c r="G34" s="15" t="n"/>
      <c r="H34" s="15" t="n"/>
    </row>
    <row r="35">
      <c r="A35" s="28" t="inlineStr">
        <is>
          <t>Позиция</t>
        </is>
      </c>
      <c r="B35" s="28" t="inlineStr">
        <is>
          <t>Значение</t>
        </is>
      </c>
      <c r="C35" s="28" t="inlineStr">
        <is>
          <t>Ед. изм.</t>
        </is>
      </c>
      <c r="D35" s="28" t="inlineStr"/>
      <c r="E35" s="28" t="inlineStr"/>
      <c r="F35" s="28" t="inlineStr"/>
      <c r="G35" s="28" t="inlineStr"/>
      <c r="H35" s="28" t="inlineStr">
        <is>
          <t>Источник</t>
        </is>
      </c>
    </row>
    <row r="36">
      <c r="A36" s="6" t="inlineStr">
        <is>
          <t>Indigo · ККЗ, дератизация</t>
        </is>
      </c>
      <c r="B36" s="46" t="n">
        <v>96600</v>
      </c>
      <c r="C36" s="6" t="inlineStr">
        <is>
          <t>₸/мес</t>
        </is>
      </c>
      <c r="H36" s="47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6" t="inlineStr">
        <is>
          <t>Indigo · Айыртау БП, полная замена</t>
        </is>
      </c>
      <c r="B37" s="46" t="n">
        <v>618400</v>
      </c>
      <c r="C37" s="6" t="inlineStr">
        <is>
          <t>₸/мес</t>
        </is>
      </c>
      <c r="H37" s="47" t="inlineStr">
        <is>
          <t>Indigo Solutions, КП от 19.08.2026 (цены включают НДС); 180 ед. оборудования</t>
        </is>
      </c>
    </row>
    <row r="38">
      <c r="A38" s="6" t="inlineStr">
        <is>
          <t>Indigo · Айыртау БП, частичная замена</t>
        </is>
      </c>
      <c r="B38" s="46" t="n">
        <v>478400</v>
      </c>
      <c r="C38" s="6" t="inlineStr">
        <is>
          <t>₸/мес</t>
        </is>
      </c>
      <c r="H38" s="47" t="inlineStr">
        <is>
          <t>Indigo Solutions, КП от 19.08.2026 (цены включают НДС)</t>
        </is>
      </c>
    </row>
    <row r="39">
      <c r="A39" s="6" t="inlineStr">
        <is>
          <t>Indigo · Многоэтажки Д и Г, полная замена</t>
        </is>
      </c>
      <c r="B39" s="46" t="n">
        <v>569800</v>
      </c>
      <c r="C39" s="6" t="inlineStr">
        <is>
          <t>₸/мес</t>
        </is>
      </c>
      <c r="H39" s="47" t="inlineStr">
        <is>
          <t>Indigo Solutions, КП от 19.08.2026 (цены включают НДС); 166 ед. оборудования</t>
        </is>
      </c>
    </row>
    <row r="40">
      <c r="A40" s="6" t="inlineStr">
        <is>
          <t>Indigo · Многоэтажки Д и Г, частичная замена</t>
        </is>
      </c>
      <c r="B40" s="46" t="n">
        <v>440700</v>
      </c>
      <c r="C40" s="6" t="inlineStr">
        <is>
          <t>₸/мес</t>
        </is>
      </c>
      <c r="H40" s="47" t="inlineStr">
        <is>
          <t>Indigo Solutions, КП от 19.08.2026 (цены включают НДС)</t>
        </is>
      </c>
    </row>
    <row r="41">
      <c r="A41" s="6" t="inlineStr">
        <is>
          <t>Indigo · Площадки А,Б,Е,Ж,В,В(РМ), полная</t>
        </is>
      </c>
      <c r="B41" s="46" t="n">
        <v>2599100</v>
      </c>
      <c r="C41" s="6" t="inlineStr">
        <is>
          <t>₸/мес</t>
        </is>
      </c>
      <c r="H41" s="47" t="inlineStr">
        <is>
          <t>Indigo Solutions, КП от 19.08.2026 (цены включают НДС); 793 ед. оборудования</t>
        </is>
      </c>
    </row>
    <row r="42">
      <c r="A42" s="6" t="inlineStr">
        <is>
          <t>Indigo · Площадки А,Б,Е,Ж,В,В(РМ), частичная</t>
        </is>
      </c>
      <c r="B42" s="46" t="n">
        <v>2010300</v>
      </c>
      <c r="C42" s="6" t="inlineStr">
        <is>
          <t>₸/мес</t>
        </is>
      </c>
      <c r="H42" s="47" t="inlineStr">
        <is>
          <t>Indigo Solutions, КП от 19.08.2026 (цены включают НДС)</t>
        </is>
      </c>
    </row>
    <row r="43">
      <c r="A43" s="6" t="inlineStr">
        <is>
          <t>Indigo · Инкубаторий, полная замена</t>
        </is>
      </c>
      <c r="B43" s="46" t="n">
        <v>126200</v>
      </c>
      <c r="C43" s="6" t="inlineStr">
        <is>
          <t>₸/мес</t>
        </is>
      </c>
      <c r="H43" s="47" t="inlineStr">
        <is>
          <t>Indigo Solutions, КП от 19.08.2026 (цены включают НДС); 48 ед. оборудования</t>
        </is>
      </c>
    </row>
    <row r="44">
      <c r="A44" s="6" t="inlineStr">
        <is>
          <t>Indigo · Инкубаторий, частичная замена</t>
        </is>
      </c>
      <c r="B44" s="46" t="n">
        <v>106800</v>
      </c>
      <c r="C44" s="6" t="inlineStr">
        <is>
          <t>₸/мес</t>
        </is>
      </c>
      <c r="H44" s="47" t="inlineStr">
        <is>
          <t>Indigo Solutions, КП от 19.08.2026 (цены включают НДС)</t>
        </is>
      </c>
    </row>
    <row r="45">
      <c r="A45" s="6" t="inlineStr">
        <is>
          <t>Indigo · ЗПП, полная замена</t>
        </is>
      </c>
      <c r="B45" s="46" t="n">
        <v>126200</v>
      </c>
      <c r="C45" s="6" t="inlineStr">
        <is>
          <t>₸/мес</t>
        </is>
      </c>
      <c r="H45" s="47" t="inlineStr">
        <is>
          <t>Indigo Solutions, КП от 19.08.2026 (цены включают НДС)</t>
        </is>
      </c>
    </row>
    <row r="46">
      <c r="A46" s="6" t="inlineStr">
        <is>
          <t>Indigo · ЗПП, частичная замена</t>
        </is>
      </c>
      <c r="B46" s="46" t="n">
        <v>106800</v>
      </c>
      <c r="C46" s="6" t="inlineStr">
        <is>
          <t>₸/мес</t>
        </is>
      </c>
      <c r="H46" s="47" t="inlineStr">
        <is>
          <t>Indigo Solutions, КП от 19.08.2026 (цены включают НДС)</t>
        </is>
      </c>
    </row>
    <row r="47">
      <c r="A47" s="6" t="inlineStr">
        <is>
          <t>Indigo · дезинсекция, Айыртау БП</t>
        </is>
      </c>
      <c r="B47" s="46" t="n">
        <v>720000</v>
      </c>
      <c r="C47" s="6" t="inlineStr">
        <is>
          <t>₸/мес</t>
        </is>
      </c>
      <c r="H47" s="47" t="inlineStr">
        <is>
          <t>Indigo Solutions, КП от 19.08.2026 (цены включают НДС)</t>
        </is>
      </c>
    </row>
    <row r="48">
      <c r="A48" s="6" t="inlineStr">
        <is>
          <t>Indigo · дезинсекция, Многоэтажки</t>
        </is>
      </c>
      <c r="B48" s="46" t="n">
        <v>1080000</v>
      </c>
      <c r="C48" s="6" t="inlineStr">
        <is>
          <t>₸/мес</t>
        </is>
      </c>
      <c r="H48" s="47" t="inlineStr">
        <is>
          <t>Indigo Solutions, КП от 19.08.2026 (цены включают НДС)</t>
        </is>
      </c>
    </row>
    <row r="49">
      <c r="A49" s="6" t="inlineStr">
        <is>
          <t>Indigo · дезинсекция, Площадки</t>
        </is>
      </c>
      <c r="B49" s="46" t="n">
        <v>3000000</v>
      </c>
      <c r="C49" s="6" t="inlineStr">
        <is>
          <t>₸/мес</t>
        </is>
      </c>
      <c r="H49" s="47" t="inlineStr">
        <is>
          <t>Indigo Solutions, КП от 19.08.2026 (цены включают НДС)</t>
        </is>
      </c>
    </row>
    <row r="50">
      <c r="A50" s="6" t="inlineStr">
        <is>
          <t>Indigo · дезинсекция, Инкубаторий</t>
        </is>
      </c>
      <c r="B50" s="46" t="n">
        <v>100800</v>
      </c>
      <c r="C50" s="6" t="inlineStr">
        <is>
          <t>₸/мес</t>
        </is>
      </c>
      <c r="H50" s="47" t="inlineStr">
        <is>
          <t>Indigo Solutions, КП от 19.08.2026 (цены включают НДС)</t>
        </is>
      </c>
    </row>
    <row r="51">
      <c r="A51" s="6" t="inlineStr">
        <is>
          <t>Indigo · дезинсекция, ЗПП</t>
        </is>
      </c>
      <c r="B51" s="46" t="n">
        <v>160800</v>
      </c>
      <c r="C51" s="6" t="inlineStr">
        <is>
          <t>₸/мес</t>
        </is>
      </c>
      <c r="H51" s="47" t="inlineStr">
        <is>
          <t>Indigo Solutions, КП от 19.08.2026 (цены включают НДС)</t>
        </is>
      </c>
    </row>
    <row r="52">
      <c r="A52" s="6" t="inlineStr">
        <is>
          <t>Pest Hunters · ККЗ, дератизация</t>
        </is>
      </c>
      <c r="B52" s="46" t="n">
        <v>75000</v>
      </c>
      <c r="C52" s="6" t="inlineStr">
        <is>
          <t>₸/мес</t>
        </is>
      </c>
      <c r="H52" s="47" t="inlineStr">
        <is>
          <t>Pest Hunters, КП №26/12 на 2026–2027 (без НДС)</t>
        </is>
      </c>
    </row>
    <row r="53">
      <c r="A53" s="6" t="inlineStr">
        <is>
          <t>Pest Hunters · ККЗ, дезинсекция</t>
        </is>
      </c>
      <c r="B53" s="46" t="n">
        <v>70000</v>
      </c>
      <c r="C53" s="6" t="inlineStr">
        <is>
          <t>₸/мес</t>
        </is>
      </c>
      <c r="H53" s="47" t="inlineStr">
        <is>
          <t>Pest Hunters, КП №26/12 на 2026–2027 (без НДС)</t>
        </is>
      </c>
    </row>
    <row r="54">
      <c r="A54" s="6" t="inlineStr">
        <is>
          <t>Pest Hunters · площадки, дезинсекция</t>
        </is>
      </c>
      <c r="B54" s="46" t="n">
        <v>2196000</v>
      </c>
      <c r="C54" s="6" t="inlineStr">
        <is>
          <t>₸/обраб.</t>
        </is>
      </c>
      <c r="H54" s="47" t="inlineStr">
        <is>
          <t>Pest Hunters, КП №26/12 на 2026–2027 (без НДС); 122 площадки по 18 000 ₸, по графику заказчика 1 раз за 40 дней; сумма из КП без пересчёта на год</t>
        </is>
      </c>
    </row>
    <row r="55">
      <c r="A55" s="6" t="inlineStr">
        <is>
          <t>Pest Hunters · площадки, март — ноябрь</t>
        </is>
      </c>
      <c r="B55" s="46" t="n">
        <v>3172000</v>
      </c>
      <c r="C55" s="6" t="inlineStr">
        <is>
          <t>₸/мес</t>
        </is>
      </c>
      <c r="H55" s="47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6" t="n">
        <v>2074000</v>
      </c>
      <c r="C56" s="6" t="inlineStr">
        <is>
          <t>₸/мес</t>
        </is>
      </c>
      <c r="H56" s="47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6" t="n">
        <v>2806000</v>
      </c>
      <c r="C57" s="6" t="inlineStr">
        <is>
          <t>₸/мес</t>
        </is>
      </c>
      <c r="H57" s="47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6" t="n">
        <v>1830000</v>
      </c>
      <c r="C58" s="6" t="inlineStr">
        <is>
          <t>₸/мес</t>
        </is>
      </c>
      <c r="H58" s="47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6" t="n">
        <v>180000</v>
      </c>
      <c r="C59" s="6" t="inlineStr">
        <is>
          <t>₸/мес</t>
        </is>
      </c>
      <c r="H59" s="47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Инкубаторий, дератизация</t>
        </is>
      </c>
      <c r="B60" s="46" t="n">
        <v>120000</v>
      </c>
      <c r="C60" s="6" t="inlineStr">
        <is>
          <t>₸/мес</t>
        </is>
      </c>
      <c r="H60" s="47" t="inlineStr">
        <is>
          <t>Pest Hunters, КП №26/75 на 2026–2027 (без НДС); ежемесячно 2 раза, с. Акимовка</t>
        </is>
      </c>
    </row>
    <row r="61">
      <c r="A61" s="6" t="inlineStr">
        <is>
          <t>Pest Hunters · Инкубаторий, дезинсекция</t>
        </is>
      </c>
      <c r="B61" s="46" t="n">
        <v>100000</v>
      </c>
      <c r="C61" s="6" t="inlineStr">
        <is>
          <t>₸/мес</t>
        </is>
      </c>
      <c r="H61" s="47" t="inlineStr">
        <is>
          <t>Pest Hunters, КП №26/75 на 2026–2027 (без НДС); ежемесячно 2 раза</t>
        </is>
      </c>
    </row>
    <row r="62">
      <c r="A62" s="6" t="inlineStr">
        <is>
          <t>Pest Hunters · склад ТМЦ, дератизация</t>
        </is>
      </c>
      <c r="B62" s="46" t="n">
        <v>40000</v>
      </c>
      <c r="C62" s="6" t="inlineStr">
        <is>
          <t>₸/мес</t>
        </is>
      </c>
      <c r="H62" s="47" t="inlineStr">
        <is>
          <t>Pest Hunters, КП №26/75 на 2026–2027 (без НДС); ежемесячно 2 раза, пос. К. Кайсенова</t>
        </is>
      </c>
    </row>
    <row r="63">
      <c r="A63" s="6" t="inlineStr">
        <is>
          <t>Pest Hunters · склад ТМЦ, дезинсекция</t>
        </is>
      </c>
      <c r="B63" s="46" t="n">
        <v>40000</v>
      </c>
      <c r="C63" s="6" t="inlineStr">
        <is>
          <t>₸/мес</t>
        </is>
      </c>
      <c r="H63" s="47" t="inlineStr">
        <is>
          <t>Pest Hunters, КП №26/75 на 2026–2027 (без НДС); ежемесячно 2 раза</t>
        </is>
      </c>
    </row>
    <row r="64">
      <c r="A64" s="6" t="inlineStr">
        <is>
          <t>Ставка НДС</t>
        </is>
      </c>
      <c r="B64" s="60" t="n">
        <v>0.16</v>
      </c>
      <c r="C64" s="6" t="inlineStr">
        <is>
          <t>доля</t>
        </is>
      </c>
      <c r="H64" s="47" t="inlineStr">
        <is>
          <t>по КП Pest Hunters №26/12: 2 196 000 ₸ + НДС = 2 547 360 ₸</t>
        </is>
      </c>
    </row>
    <row r="65">
      <c r="A65" s="6" t="inlineStr">
        <is>
          <t>Месяцев высокого тарифа площадок (мар — ноя)</t>
        </is>
      </c>
      <c r="B65" s="46" t="n">
        <v>9</v>
      </c>
      <c r="C65" s="6" t="inlineStr">
        <is>
          <t>мес.</t>
        </is>
      </c>
      <c r="H65" s="47" t="inlineStr">
        <is>
          <t>Pest Hunters, КП №26/12 на 2026–2027 (без НДС)</t>
        </is>
      </c>
    </row>
    <row r="66">
      <c r="A66" s="6" t="inlineStr">
        <is>
          <t>Месяцев низкого тарифа площадок (дек — фев)</t>
        </is>
      </c>
      <c r="B66" s="46" t="n">
        <v>3</v>
      </c>
      <c r="C66" s="6" t="inlineStr">
        <is>
          <t>мес.</t>
        </is>
      </c>
      <c r="H66" s="47" t="inlineStr">
        <is>
          <t>Pest Hunters, КП №26/12 на 2026–2027 (без НДС)</t>
        </is>
      </c>
    </row>
    <row r="67">
      <c r="A67" s="6" t="inlineStr">
        <is>
          <t>Месяцев действия договора по складу ТМЦ</t>
        </is>
      </c>
      <c r="B67" s="46" t="n">
        <v>9</v>
      </c>
      <c r="C67" s="6" t="inlineStr">
        <is>
          <t>мес.</t>
        </is>
      </c>
      <c r="H67" s="47" t="inlineStr">
        <is>
          <t>апрель — декабрь 2026</t>
        </is>
      </c>
    </row>
    <row r="68">
      <c r="A68" s="6" t="inlineStr">
        <is>
          <t>Скидка Indigo за всю территорию фабрики</t>
        </is>
      </c>
      <c r="B68" s="60" t="n">
        <v>0.15</v>
      </c>
      <c r="C68" s="6" t="inlineStr">
        <is>
          <t>доля</t>
        </is>
      </c>
      <c r="H68" s="47" t="inlineStr">
        <is>
          <t>КП от 19.08.2026, условия предоставления скидок</t>
        </is>
      </c>
    </row>
    <row r="69">
      <c r="A69" s="6" t="inlineStr">
        <is>
          <t>Скидка Indigo за 100 % предоплату за год</t>
        </is>
      </c>
      <c r="B69" s="60" t="n">
        <v>0.15</v>
      </c>
      <c r="C69" s="6" t="inlineStr">
        <is>
          <t>доля</t>
        </is>
      </c>
      <c r="H69" s="47" t="inlineStr">
        <is>
          <t>КП от 19.08.2026, дополнительно к предыдущей</t>
        </is>
      </c>
    </row>
    <row r="70">
      <c r="A70" s="6" t="inlineStr">
        <is>
          <t>Скидка Indigo неплательщику НДС</t>
        </is>
      </c>
      <c r="B70" s="60" t="n">
        <v>0.16</v>
      </c>
      <c r="C70" s="6" t="inlineStr">
        <is>
          <t>доля</t>
        </is>
      </c>
      <c r="H70" s="47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2026-08-27T09:20:46Z</dcterms:created>
  <dcterms:modified xsi:type="dcterms:W3CDTF">2026-08-27T09:20:52Z</dcterms:modified>
</cp:coreProperties>
</file>