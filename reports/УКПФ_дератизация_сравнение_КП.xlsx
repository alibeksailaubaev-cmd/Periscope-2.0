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3212500</v>
      </c>
      <c r="E12" s="17">
        <f>SUM(E6:E11)</f>
        <v>38550000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РАЗНИЦА С СОБСТВЕННЫМ ШТАТОМ</t>
        </is>
      </c>
      <c r="B14" s="19" t="n"/>
      <c r="C14" s="19" t="n"/>
      <c r="D14" s="19" t="n"/>
    </row>
    <row r="15">
      <c r="A15" s="20" t="inlineStr">
        <is>
          <t>Показатель</t>
        </is>
      </c>
      <c r="B15" s="21" t="inlineStr">
        <is>
          <t>в месяц</t>
        </is>
      </c>
      <c r="C15" s="21" t="inlineStr">
        <is>
          <t>за год</t>
        </is>
      </c>
      <c r="D15" s="21" t="inlineStr">
        <is>
          <t>во сколько раз</t>
        </is>
      </c>
    </row>
    <row r="16">
      <c r="A16" s="9" t="inlineStr">
        <is>
          <t>Indigo Solutions дороже штата</t>
        </is>
      </c>
      <c r="B16" s="10">
        <f>C16/12</f>
        <v>2461113.062</v>
      </c>
      <c r="C16" s="11">
        <f>C12-(G12+Данные!$B$13*Данные!$B$11*12)</f>
        <v>29533356.75</v>
      </c>
      <c r="D16" s="51">
        <f>IF((G12+Данные!$B$13*Данные!$B$11*12)=0,0,C12/(G12+Данные!$B$13*Данные!$B$11*12))</f>
        <v>2.469157267</v>
      </c>
    </row>
    <row r="17">
      <c r="A17" s="9" t="inlineStr">
        <is>
          <t>Pest Hunters дороже штата</t>
        </is>
      </c>
      <c r="B17" s="10">
        <f>C17/12</f>
        <v>1537313.062</v>
      </c>
      <c r="C17" s="11">
        <f>E12-(G12+Данные!$B$13*Данные!$B$11*12)</f>
        <v>18447756.75</v>
      </c>
      <c r="D17" s="51">
        <f>IF((G12+Данные!$B$13*Данные!$B$11*12)=0,0,E12/(G12+Данные!$B$13*Данные!$B$11*12))</f>
        <v>1.917696424</v>
      </c>
    </row>
    <row r="18">
      <c r="A18" s="2" t="inlineStr">
        <is>
          <t>Штат посчитан вместе с ФОТ (расходники + зарплата), КП подрядчиков — как есть.</t>
        </is>
      </c>
    </row>
    <row r="19"/>
    <row r="20">
      <c r="A20" s="18" t="inlineStr">
        <is>
          <t>ШТАТ УКПФ · ПОЛНАЯ РАСШИФРОВКА</t>
        </is>
      </c>
      <c r="B20" s="19" t="n"/>
      <c r="C20" s="19" t="n"/>
      <c r="D20" s="19" t="n"/>
      <c r="E20" s="19" t="n"/>
      <c r="F20" s="19" t="n"/>
      <c r="G20" s="19" t="n"/>
    </row>
    <row r="21">
      <c r="A21" s="23" t="inlineStr">
        <is>
          <t>Статья</t>
        </is>
      </c>
      <c r="B21" s="6" t="inlineStr">
        <is>
          <t>Количество</t>
        </is>
      </c>
      <c r="C21" s="6" t="inlineStr">
        <is>
          <t>Ед. изм.</t>
        </is>
      </c>
      <c r="D21" s="6" t="inlineStr">
        <is>
          <t>Цена за ед., ₸</t>
        </is>
      </c>
      <c r="E21" s="6" t="inlineStr">
        <is>
          <t>в месяц, ₸</t>
        </is>
      </c>
      <c r="F21" s="6" t="inlineStr">
        <is>
          <t>за год, ₸</t>
        </is>
      </c>
    </row>
    <row r="22">
      <c r="A22" s="9" t="inlineStr">
        <is>
          <t>Численность штата</t>
        </is>
      </c>
      <c r="B22" s="10">
        <f>Данные!$B$13</f>
        <v>5</v>
      </c>
      <c r="C22" s="24" t="inlineStr">
        <is>
          <t>чел.</t>
        </is>
      </c>
      <c r="D22" s="5" t="n"/>
      <c r="E22" s="5" t="n"/>
      <c r="F22" s="5" t="n"/>
    </row>
    <row r="23">
      <c r="A23" s="9" t="inlineStr">
        <is>
          <t>Оклад одного дератизатора</t>
        </is>
      </c>
      <c r="B23" s="5" t="n"/>
      <c r="C23" s="24" t="inlineStr">
        <is>
          <t>₸/мес</t>
        </is>
      </c>
      <c r="D23" s="10">
        <f>Данные!$B$11</f>
        <v>258488</v>
      </c>
      <c r="E23" s="5" t="n"/>
      <c r="F23" s="5" t="n"/>
    </row>
    <row r="24">
      <c r="A24" s="9" t="inlineStr">
        <is>
          <t>Фонд оплаты труда</t>
        </is>
      </c>
      <c r="B24" s="10">
        <f>Данные!$B$13</f>
        <v>5</v>
      </c>
      <c r="C24" s="24" t="inlineStr">
        <is>
          <t>чел.</t>
        </is>
      </c>
      <c r="D24" s="10">
        <f>Данные!$B$11</f>
        <v>258488</v>
      </c>
      <c r="E24" s="10">
        <f>Данные!$B$13*Данные!$B$11</f>
        <v>1292440</v>
      </c>
      <c r="F24" s="11">
        <f>Данные!$B$13*Данные!$B$11*12</f>
        <v>15509280</v>
      </c>
    </row>
    <row r="25">
      <c r="A25" s="9" t="inlineStr">
        <is>
          <t>Приманочные станции 1-го и 2-го контура · разовая закупка</t>
        </is>
      </c>
      <c r="B25" s="10">
        <f>Данные!$B$32+Данные!$C$32</f>
        <v>1377</v>
      </c>
      <c r="C25" s="24" t="inlineStr">
        <is>
          <t>шт</t>
        </is>
      </c>
      <c r="D25" s="10">
        <f>Данные!$B$9</f>
        <v>2160</v>
      </c>
      <c r="E25" s="5" t="n"/>
      <c r="F25" s="11">
        <f>(Данные!$B$32+Данные!$C$32)*Данные!$B$9</f>
        <v>2974320</v>
      </c>
    </row>
    <row r="26">
      <c r="A26" s="9" t="inlineStr">
        <is>
          <t>Клеевые станции 3-го контура · апрель — октябрь</t>
        </is>
      </c>
      <c r="B26" s="10">
        <f>Данные!$D$32</f>
        <v>343</v>
      </c>
      <c r="C26" s="24" t="inlineStr">
        <is>
          <t>шт/мес</t>
        </is>
      </c>
      <c r="D26" s="10">
        <f>Данные!$B$8</f>
        <v>160</v>
      </c>
      <c r="E26" s="10">
        <f>Данные!$D$32*Данные!$B$8</f>
        <v>54880</v>
      </c>
      <c r="F26" s="11">
        <f>Данные!$D$32*Данные!$B$8*Данные!$B$14</f>
        <v>384160</v>
      </c>
    </row>
    <row r="27">
      <c r="A27" s="9" t="inlineStr">
        <is>
          <t>Клеевые станции 3-го контура · ноябрь — март, объём вдвое</t>
        </is>
      </c>
      <c r="B27" s="10">
        <f>Данные!$D$32*2</f>
        <v>686</v>
      </c>
      <c r="C27" s="24" t="inlineStr">
        <is>
          <t>шт/мес</t>
        </is>
      </c>
      <c r="D27" s="10">
        <f>Данные!$B$8</f>
        <v>160</v>
      </c>
      <c r="E27" s="10">
        <f>Данные!$D$32*2*Данные!$B$8</f>
        <v>109760</v>
      </c>
      <c r="F27" s="11">
        <f>Данные!$D$32*2*Данные!$B$8*Данные!$B$15</f>
        <v>548800</v>
      </c>
    </row>
    <row r="28">
      <c r="A28" s="9" t="inlineStr">
        <is>
          <t>Зерноцид · 2-й контур, тёплый сезон</t>
        </is>
      </c>
      <c r="B28" s="10">
        <f>Данные!$G$32</f>
        <v>16</v>
      </c>
      <c r="C28" s="24" t="inlineStr">
        <is>
          <t>кг/мес</t>
        </is>
      </c>
      <c r="D28" s="10">
        <f>Данные!$B$6</f>
        <v>740</v>
      </c>
      <c r="E28" s="10">
        <f>Данные!$G$32*Данные!$B$6</f>
        <v>11840</v>
      </c>
      <c r="F28" s="11">
        <f>Данные!$G$32*Данные!$B$6*Данные!$B$14</f>
        <v>82880</v>
      </c>
    </row>
    <row r="29">
      <c r="A29" s="9" t="inlineStr">
        <is>
          <t>Pest Killer, брикеты · заряжаются в станции 2-го контура</t>
        </is>
      </c>
      <c r="B29" s="10">
        <f>Данные!$F$32</f>
        <v>20.3</v>
      </c>
      <c r="C29" s="24" t="inlineStr">
        <is>
          <t>кг/мес</t>
        </is>
      </c>
      <c r="D29" s="10">
        <f>Данные!$B$7</f>
        <v>3642.5</v>
      </c>
      <c r="E29" s="10">
        <f>Данные!$F$32*Данные!$B$7</f>
        <v>73942.75</v>
      </c>
      <c r="F29" s="11">
        <f>Данные!$F$32*Данные!$B$7*Данные!$B$14</f>
        <v>517599.25</v>
      </c>
    </row>
    <row r="30">
      <c r="A30" s="9" t="inlineStr">
        <is>
          <t xml:space="preserve">   в том числе станций 2-го контура, которые заряжаются</t>
        </is>
      </c>
      <c r="B30" s="10">
        <f>Данные!$C$32</f>
        <v>1198</v>
      </c>
      <c r="C30" s="24" t="inlineStr">
        <is>
          <t>шт</t>
        </is>
      </c>
      <c r="D30" s="5" t="n"/>
      <c r="E30" s="5" t="n"/>
      <c r="F30" s="5" t="n"/>
    </row>
    <row r="31">
      <c r="A31" s="9" t="inlineStr">
        <is>
          <t xml:space="preserve">   расход брикетов на одну станцию 2-го контура</t>
        </is>
      </c>
      <c r="B31" s="52">
        <f>Данные!$F$32/Данные!$C$32</f>
        <v>0.01694490818</v>
      </c>
      <c r="C31" s="24" t="inlineStr">
        <is>
          <t>кг/мес</t>
        </is>
      </c>
      <c r="D31" s="5" t="n"/>
      <c r="E31" s="5" t="n"/>
      <c r="F31" s="5" t="n"/>
    </row>
    <row r="32">
      <c r="A32" s="9" t="inlineStr">
        <is>
          <t>Бутылки, 1-й контур · тёплый сезон</t>
        </is>
      </c>
      <c r="B32" s="10">
        <f>Данные!$B$32</f>
        <v>179</v>
      </c>
      <c r="C32" s="24" t="inlineStr">
        <is>
          <t>шт/мес</t>
        </is>
      </c>
      <c r="D32" s="10">
        <f>Данные!$B$10</f>
        <v>68</v>
      </c>
      <c r="E32" s="10">
        <f>Данные!$B$32*Данные!$B$10</f>
        <v>12172</v>
      </c>
      <c r="F32" s="11">
        <f>Данные!$B$32*Данные!$B$10*Данные!$B$14</f>
        <v>85204</v>
      </c>
    </row>
    <row r="33">
      <c r="A33" s="14" t="inlineStr">
        <is>
          <t>ИТОГО ШТАТ УКПФ, ПЕРВЫЙ ГОД (с разовой закупкой станций)</t>
        </is>
      </c>
      <c r="B33" s="26" t="n"/>
      <c r="C33" s="26" t="n"/>
      <c r="D33" s="26" t="n"/>
      <c r="E33" s="17">
        <f>F33/12</f>
        <v>1675186.938</v>
      </c>
      <c r="F33" s="17">
        <f>F24+F25+F26+F27+F28+F29+F32</f>
        <v>20102243.25</v>
      </c>
    </row>
    <row r="34" ht="26" customHeight="1">
      <c r="A34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5"/>
    <row r="36">
      <c r="A36" s="18" t="inlineStr">
        <is>
          <t>СКИДКИ INDIGO ИЗ КП ОТ 19.08.2026</t>
        </is>
      </c>
      <c r="B36" s="19" t="n"/>
      <c r="C36" s="19" t="n"/>
      <c r="D36" s="19" t="n"/>
      <c r="E36" s="19" t="n"/>
      <c r="F36" s="19" t="n"/>
      <c r="G36" s="19" t="n"/>
    </row>
    <row r="37">
      <c r="A37" s="20" t="inlineStr">
        <is>
          <t>Условие</t>
        </is>
      </c>
      <c r="B37" s="21" t="inlineStr">
        <is>
          <t>в месяц</t>
        </is>
      </c>
      <c r="C37" s="21" t="inlineStr">
        <is>
          <t>за год</t>
        </is>
      </c>
      <c r="D37" s="21" t="inlineStr">
        <is>
          <t>Ставка</t>
        </is>
      </c>
    </row>
    <row r="38">
      <c r="A38" s="9" t="inlineStr">
        <is>
          <t>Цена КП без скидок</t>
        </is>
      </c>
      <c r="B38" s="10">
        <f>C38/12</f>
        <v>4136300</v>
      </c>
      <c r="C38" s="11">
        <f>C12</f>
        <v>49635600</v>
      </c>
      <c r="D38" s="5" t="n"/>
    </row>
    <row r="39">
      <c r="A39" s="9" t="inlineStr">
        <is>
          <t>Вся территория фабрики</t>
        </is>
      </c>
      <c r="B39" s="10">
        <f>C39/12</f>
        <v>3515855</v>
      </c>
      <c r="C39" s="11">
        <f>C12*(1-Данные!$B$63)</f>
        <v>42190260</v>
      </c>
      <c r="D39" s="53">
        <f>Данные!$B$63</f>
        <v>0.15</v>
      </c>
    </row>
    <row r="40">
      <c r="A40" s="9" t="inlineStr">
        <is>
          <t>Вся территория + 100 % предоплата</t>
        </is>
      </c>
      <c r="B40" s="10">
        <f>C40/12</f>
        <v>2988476.75</v>
      </c>
      <c r="C40" s="11">
        <f>C12*(1-Данные!$B$63)*(1-Данные!$B$64)</f>
        <v>35861721</v>
      </c>
      <c r="D40" s="53">
        <f>Данные!$B$64</f>
        <v>0.15</v>
      </c>
    </row>
    <row r="41">
      <c r="A41" s="9" t="inlineStr">
        <is>
          <t>Вся территория + предоплата + неплательщик НДС</t>
        </is>
      </c>
      <c r="B41" s="10">
        <f>C41/12</f>
        <v>2510320.47</v>
      </c>
      <c r="C41" s="11">
        <f>C12*(1-Данные!$B$63)*(1-Данные!$B$64)*(1-Данные!$B$65)</f>
        <v>30123845.64</v>
      </c>
      <c r="D41" s="53">
        <f>Данные!$B$65</f>
        <v>0.16</v>
      </c>
    </row>
    <row r="42"/>
    <row r="43">
      <c r="A43" s="18" t="inlineStr">
        <is>
          <t>ПЕРИОДИЧНОСТЬ ОБХОДОВ</t>
        </is>
      </c>
      <c r="B43" s="19" t="n"/>
      <c r="C43" s="19" t="n"/>
      <c r="D43" s="19" t="n"/>
      <c r="E43" s="19" t="n"/>
      <c r="F43" s="19" t="n"/>
      <c r="G43" s="19" t="n"/>
    </row>
    <row r="44">
      <c r="A44" s="29" t="inlineStr">
        <is>
          <t>Вариант</t>
        </is>
      </c>
      <c r="B44" s="29" t="inlineStr">
        <is>
          <t>Объект</t>
        </is>
      </c>
      <c r="C44" s="29" t="inlineStr">
        <is>
          <t>Обходов в месяц</t>
        </is>
      </c>
      <c r="D44" s="29" t="inlineStr">
        <is>
          <t>Что зафиксировано в документах</t>
        </is>
      </c>
    </row>
    <row r="45">
      <c r="A45" s="9" t="inlineStr">
        <is>
          <t>Indigo Solutions</t>
        </is>
      </c>
      <c r="B45" s="9" t="inlineStr">
        <is>
          <t>все объекты</t>
        </is>
      </c>
      <c r="C45" s="24" t="inlineStr">
        <is>
          <t>в КП не указана</t>
        </is>
      </c>
      <c r="D45" s="30" t="inlineStr">
        <is>
          <t>ответ по заявке ≤ 2 ч, выезд ≤ 24 ч, вызовы без ограничений</t>
        </is>
      </c>
      <c r="E45" s="48" t="n"/>
      <c r="F45" s="48" t="n"/>
      <c r="G45" s="49" t="n"/>
    </row>
    <row r="46">
      <c r="A46" s="9" t="inlineStr">
        <is>
          <t>Pest Hunters</t>
        </is>
      </c>
      <c r="B46" s="9" t="inlineStr">
        <is>
          <t>ККЗ</t>
        </is>
      </c>
      <c r="C46" s="24" t="n">
        <v>1</v>
      </c>
      <c r="D46" s="30" t="inlineStr">
        <is>
          <t>выезд по запросу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бройлерные площадки</t>
        </is>
      </c>
      <c r="C47" s="24" t="n">
        <v>1</v>
      </c>
      <c r="D47" s="30" t="inlineStr">
        <is>
          <t>дополнительные визиты по вызову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ЗПП</t>
        </is>
      </c>
      <c r="C48" s="24" t="n">
        <v>3</v>
      </c>
      <c r="D48" s="30" t="inlineStr">
        <is>
          <t>по графику на 2026 год, бригада из трёх человек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склад ТМЦ</t>
        </is>
      </c>
      <c r="C49" s="24" t="n">
        <v>1</v>
      </c>
      <c r="D49" s="30" t="inlineStr">
        <is>
          <t>выезд по рекламации за два рабочих дня</t>
        </is>
      </c>
      <c r="E49" s="48" t="n"/>
      <c r="F49" s="48" t="n"/>
      <c r="G49" s="49" t="n"/>
    </row>
    <row r="50">
      <c r="A50" s="9" t="inlineStr">
        <is>
          <t>Штат УКПФ</t>
        </is>
      </c>
      <c r="B50" s="9" t="inlineStr">
        <is>
          <t>все объекты</t>
        </is>
      </c>
      <c r="C50" s="24" t="n">
        <v>8</v>
      </c>
      <c r="D50" s="30" t="inlineStr">
        <is>
          <t>присутствие 5/2, реакция в тот же день</t>
        </is>
      </c>
      <c r="E50" s="48" t="n"/>
      <c r="F50" s="48" t="n"/>
      <c r="G50" s="49" t="n"/>
    </row>
  </sheetData>
  <mergeCells count="19">
    <mergeCell ref="F4:G4"/>
    <mergeCell ref="F10:G10"/>
    <mergeCell ref="B11:C11"/>
    <mergeCell ref="D50:G50"/>
    <mergeCell ref="D11:E11"/>
    <mergeCell ref="A34:G34"/>
    <mergeCell ref="I4:K4"/>
    <mergeCell ref="D46:G46"/>
    <mergeCell ref="D45:G45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Данные!$B$36</f>
        <v>96600</v>
      </c>
      <c r="C9" s="35" t="n">
        <v>12</v>
      </c>
      <c r="D9" s="11">
        <f>B9*C9</f>
        <v>1159200</v>
      </c>
    </row>
    <row r="10">
      <c r="A10" s="34" t="inlineStr">
        <is>
          <t>Pest Hunters · дератизация</t>
        </is>
      </c>
      <c r="B10" s="35">
        <f>Данные!$B$52</f>
        <v>75000</v>
      </c>
      <c r="C10" s="35" t="n">
        <v>12</v>
      </c>
      <c r="D10" s="11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(Данные!$B$19+Данные!$C$19)*Данные!$B$9</f>
        <v>62640</v>
      </c>
      <c r="C11" s="35" t="n">
        <v>1</v>
      </c>
      <c r="D11" s="11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Данные!$D$19*Данные!$B$8</f>
        <v>0</v>
      </c>
      <c r="C12" s="35">
        <f>Данные!$B$14</f>
        <v>7</v>
      </c>
      <c r="D12" s="11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Данные!$D$19*2*Данные!$B$8</f>
        <v>0</v>
      </c>
      <c r="C13" s="35">
        <f>Данные!$B$15</f>
        <v>5</v>
      </c>
      <c r="D13" s="11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Данные!$G$19*Данные!$B$6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Данные!$F$19*Данные!$B$7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Данные!$B$19*Данные!$B$10</f>
        <v>0</v>
      </c>
      <c r="C16" s="35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Pest Hunters · дезинсекция</t>
        </is>
      </c>
      <c r="B20" s="35">
        <f>Данные!$B$53</f>
        <v>70000</v>
      </c>
      <c r="C20" s="35" t="n">
        <v>12</v>
      </c>
      <c r="D20" s="10">
        <f>B20*C20</f>
        <v>840000</v>
      </c>
    </row>
    <row r="21"/>
    <row r="22" ht="26" customHeight="1">
      <c r="A22" s="27" t="inlineStr">
        <is>
          <t>Зерноцид по ККЗ в нормах не заявлен, поэтому строка Зерноцида даёт ноль.</t>
        </is>
      </c>
    </row>
    <row r="23" ht="26" customHeight="1">
      <c r="A23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Данные!$B$37</f>
        <v>618400</v>
      </c>
      <c r="C9" s="35" t="n">
        <v>12</v>
      </c>
      <c r="D9" s="11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Данные!$B$39</f>
        <v>569800</v>
      </c>
      <c r="C10" s="35" t="n">
        <v>12</v>
      </c>
      <c r="D10" s="11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Данные!$B$41</f>
        <v>2599100</v>
      </c>
      <c r="C11" s="35" t="n">
        <v>12</v>
      </c>
      <c r="D11" s="11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Данные!$B$54</f>
        <v>3172000</v>
      </c>
      <c r="C12" s="35">
        <f>Данные!$B$60</f>
        <v>9</v>
      </c>
      <c r="D12" s="11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Данные!$B$55</f>
        <v>2074000</v>
      </c>
      <c r="C13" s="35">
        <f>Данные!$B$61</f>
        <v>3</v>
      </c>
      <c r="D13" s="11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(SUM(Данные!$B$22:$B$29)+SUM(Данные!$C$22:$C$29))*Данные!$B$9</f>
        <v>2715120</v>
      </c>
      <c r="C14" s="35" t="n">
        <v>1</v>
      </c>
      <c r="D14" s="11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SUM(Данные!$D$22:$D$29)*Данные!$B$8</f>
        <v>42880</v>
      </c>
      <c r="C15" s="35">
        <f>Данные!$B$14</f>
        <v>7</v>
      </c>
      <c r="D15" s="11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SUM(Данные!$D$22:$D$29)*2*Данные!$B$8</f>
        <v>85760</v>
      </c>
      <c r="C16" s="35">
        <f>Данные!$B$15</f>
        <v>5</v>
      </c>
      <c r="D16" s="11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SUM(Данные!$G$22:$G$29)*Данные!$B$6</f>
        <v>11100</v>
      </c>
      <c r="C17" s="35">
        <f>Данные!$B$14</f>
        <v>7</v>
      </c>
      <c r="D17" s="11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SUM(Данные!$F$22:$F$29)*Данные!$B$7</f>
        <v>61922.5</v>
      </c>
      <c r="C18" s="35">
        <f>Данные!$B$14</f>
        <v>7</v>
      </c>
      <c r="D18" s="11">
        <f>B18*C18</f>
        <v>433457.5</v>
      </c>
    </row>
    <row r="19">
      <c r="A19" s="34" t="inlineStr">
        <is>
          <t>Штат УКПФ · Бутылки, 1-й контур, тёплый сезон</t>
        </is>
      </c>
      <c r="B19" s="35">
        <f>SUM(Данные!$B$22:$B$29)*Данные!$B$10</f>
        <v>10948</v>
      </c>
      <c r="C19" s="35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4" t="inlineStr">
        <is>
          <t>Indigo Solutions · Айыртау БП — частичная замена</t>
        </is>
      </c>
      <c r="B23" s="35">
        <f>Данные!$B$38</f>
        <v>478400</v>
      </c>
      <c r="C23" s="35" t="n">
        <v>12</v>
      </c>
      <c r="D23" s="10">
        <f>B23*C23</f>
        <v>5740800</v>
      </c>
    </row>
    <row r="24">
      <c r="A24" s="34" t="inlineStr">
        <is>
          <t>Indigo Solutions · Многоэтажки Д и Г — частичная замена</t>
        </is>
      </c>
      <c r="B24" s="35">
        <f>Данные!$B$40</f>
        <v>440700</v>
      </c>
      <c r="C24" s="35" t="n">
        <v>12</v>
      </c>
      <c r="D24" s="10">
        <f>B24*C24</f>
        <v>5288400</v>
      </c>
    </row>
    <row r="25">
      <c r="A25" s="34" t="inlineStr">
        <is>
          <t>Indigo Solutions · Площадки А, Б, Е, Ж, В (РМ), В — частичная замена</t>
        </is>
      </c>
      <c r="B25" s="35">
        <f>Данные!$B$42</f>
        <v>2010300</v>
      </c>
      <c r="C25" s="35" t="n">
        <v>12</v>
      </c>
      <c r="D25" s="10">
        <f>B25*C25</f>
        <v>24123600</v>
      </c>
    </row>
    <row r="26">
      <c r="A26" s="34" t="inlineStr">
        <is>
          <t>Pest Hunters · 122 объекта, март — ноябрь, оборудование заказчика</t>
        </is>
      </c>
      <c r="B26" s="35">
        <f>Данные!$B$56</f>
        <v>2806000</v>
      </c>
      <c r="C26" s="35">
        <f>Данные!$B$60</f>
        <v>9</v>
      </c>
      <c r="D26" s="10">
        <f>B26*C26</f>
        <v>25254000</v>
      </c>
    </row>
    <row r="27">
      <c r="A27" s="34" t="inlineStr">
        <is>
          <t>Pest Hunters · 122 объекта, декабрь — февраль, оборудование заказчика</t>
        </is>
      </c>
      <c r="B27" s="35">
        <f>Данные!$B$57</f>
        <v>1830000</v>
      </c>
      <c r="C27" s="35">
        <f>Данные!$B$61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4" t="inlineStr">
        <is>
          <t>Indigo Solutions · Айыртау БП</t>
        </is>
      </c>
      <c r="B31" s="35">
        <f>Данные!$B$47</f>
        <v>720000</v>
      </c>
      <c r="C31" s="35" t="n">
        <v>12</v>
      </c>
      <c r="D31" s="10">
        <f>B31*C31</f>
        <v>8640000</v>
      </c>
    </row>
    <row r="32">
      <c r="A32" s="34" t="inlineStr">
        <is>
          <t>Indigo Solutions · Многоэтажки Д и Г</t>
        </is>
      </c>
      <c r="B32" s="35">
        <f>Данные!$B$48</f>
        <v>1080000</v>
      </c>
      <c r="C32" s="35" t="n">
        <v>12</v>
      </c>
      <c r="D32" s="10">
        <f>B32*C32</f>
        <v>12960000</v>
      </c>
    </row>
    <row r="33">
      <c r="A33" s="34" t="inlineStr">
        <is>
          <t>Indigo Solutions · Площадки А, Б, Е, Ж, В (РМ), В</t>
        </is>
      </c>
      <c r="B33" s="35">
        <f>Данные!$B$49</f>
        <v>3000000</v>
      </c>
      <c r="C33" s="35" t="n">
        <v>12</v>
      </c>
      <c r="D33" s="10">
        <f>B33*C33</f>
        <v>36000000</v>
      </c>
    </row>
    <row r="34"/>
    <row r="35" ht="26" customHeight="1">
      <c r="A35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0" t="inlineStr">
        <is>
          <t>Площадка</t>
        </is>
      </c>
      <c r="B39" s="21" t="inlineStr">
        <is>
          <t>1-й контур</t>
        </is>
      </c>
      <c r="C39" s="21" t="inlineStr">
        <is>
          <t>2-й контур</t>
        </is>
      </c>
    </row>
    <row r="40">
      <c r="A40" s="9" t="inlineStr">
        <is>
          <t>Площадка А</t>
        </is>
      </c>
      <c r="B40" s="36">
        <f>Данные!$B$22</f>
        <v>13</v>
      </c>
      <c r="C40" s="36">
        <f>Данные!$C$22</f>
        <v>147</v>
      </c>
    </row>
    <row r="41">
      <c r="A41" s="9" t="inlineStr">
        <is>
          <t>Площадка Б</t>
        </is>
      </c>
      <c r="B41" s="36">
        <f>Данные!$B$23</f>
        <v>17</v>
      </c>
      <c r="C41" s="36">
        <f>Данные!$C$23</f>
        <v>146</v>
      </c>
    </row>
    <row r="42">
      <c r="A42" s="9" t="inlineStr">
        <is>
          <t>В / Восточка</t>
        </is>
      </c>
      <c r="B42" s="36">
        <f>Данные!$B$24</f>
        <v>50</v>
      </c>
      <c r="C42" s="36">
        <f>Данные!$C$24</f>
        <v>239</v>
      </c>
    </row>
    <row r="43">
      <c r="A43" s="9" t="inlineStr">
        <is>
          <t>Площадка Г</t>
        </is>
      </c>
      <c r="B43" s="36">
        <f>Данные!$B$25</f>
        <v>17</v>
      </c>
      <c r="C43" s="36">
        <f>Данные!$C$25</f>
        <v>88</v>
      </c>
    </row>
    <row r="44">
      <c r="A44" s="9" t="inlineStr">
        <is>
          <t>Площадка Д</t>
        </is>
      </c>
      <c r="B44" s="36">
        <f>Данные!$B$26</f>
        <v>15</v>
      </c>
      <c r="C44" s="36">
        <f>Данные!$C$26</f>
        <v>69</v>
      </c>
    </row>
    <row r="45">
      <c r="A45" s="9" t="inlineStr">
        <is>
          <t>Площадка Е</t>
        </is>
      </c>
      <c r="B45" s="36">
        <f>Данные!$B$27</f>
        <v>13</v>
      </c>
      <c r="C45" s="36">
        <f>Данные!$C$27</f>
        <v>147</v>
      </c>
    </row>
    <row r="46">
      <c r="A46" s="9" t="inlineStr">
        <is>
          <t>Площадка Ж</t>
        </is>
      </c>
      <c r="B46" s="36">
        <f>Данные!$B$28</f>
        <v>17</v>
      </c>
      <c r="C46" s="36">
        <f>Данные!$C$28</f>
        <v>73</v>
      </c>
    </row>
    <row r="47">
      <c r="A47" s="9" t="inlineStr">
        <is>
          <t>Айыртау</t>
        </is>
      </c>
      <c r="B47" s="36">
        <f>Данные!$B$29</f>
        <v>19</v>
      </c>
      <c r="C47" s="36">
        <f>Данные!$C$29</f>
        <v>187</v>
      </c>
    </row>
    <row r="48">
      <c r="A48" s="37" t="inlineStr">
        <is>
          <t>Итого по площадкам</t>
        </is>
      </c>
      <c r="B48" s="38">
        <f>SUM(B40:B47)</f>
        <v>161</v>
      </c>
      <c r="C48" s="38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3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6" t="n"/>
      <c r="C59" s="26" t="n"/>
      <c r="D59" s="17">
        <f>SUM(D52:D58)</f>
        <v>4031873.5</v>
      </c>
    </row>
    <row r="60"/>
    <row r="61" ht="26" customHeight="1">
      <c r="A61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Данные!$B$43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112320</v>
      </c>
      <c r="C11" s="35" t="n">
        <v>1</v>
      </c>
      <c r="D11" s="11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1920</v>
      </c>
      <c r="C12" s="35">
        <f>Данные!$B$14</f>
        <v>7</v>
      </c>
      <c r="D12" s="11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3840</v>
      </c>
      <c r="C13" s="35">
        <f>Данные!$B$15</f>
        <v>5</v>
      </c>
      <c r="D13" s="11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740</v>
      </c>
      <c r="C14" s="35">
        <f>Данные!$B$14</f>
        <v>7</v>
      </c>
      <c r="D14" s="11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Данные!$B$20*Данные!$B$10</f>
        <v>1224</v>
      </c>
      <c r="C16" s="35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АЛЬТЕРНАТИВНЫЙ ВАРИАНТ INDIGO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Indigo Solutions · частичная замена оборудования</t>
        </is>
      </c>
      <c r="B20" s="35">
        <f>Данные!$B$44</f>
        <v>106800</v>
      </c>
      <c r="C20" s="35" t="n">
        <v>12</v>
      </c>
      <c r="D20" s="10">
        <f>B20*C20</f>
        <v>1281600</v>
      </c>
    </row>
    <row r="21"/>
    <row r="22">
      <c r="A22" s="18" t="inlineStr">
        <is>
          <t>СПРАВОЧНО: ДЕЗИНСЕКЦИЯ — В СРАВНЕНИЕ НЕ ВХОДИТ</t>
        </is>
      </c>
      <c r="B22" s="19" t="n"/>
      <c r="C22" s="19" t="n"/>
      <c r="D22" s="19" t="n"/>
    </row>
    <row r="23">
      <c r="A23" s="20" t="inlineStr">
        <is>
          <t>Статья</t>
        </is>
      </c>
      <c r="B23" s="21" t="inlineStr">
        <is>
          <t>Цена в месяц, ₸</t>
        </is>
      </c>
      <c r="C23" s="21" t="inlineStr">
        <is>
          <t>Месяцев</t>
        </is>
      </c>
      <c r="D23" s="21" t="inlineStr">
        <is>
          <t>За год, ₸</t>
        </is>
      </c>
    </row>
    <row r="24">
      <c r="A24" s="34" t="inlineStr">
        <is>
          <t>Indigo Solutions · дезинсекция</t>
        </is>
      </c>
      <c r="B24" s="35">
        <f>Данные!$B$50</f>
        <v>100800</v>
      </c>
      <c r="C24" s="35" t="n">
        <v>12</v>
      </c>
      <c r="D24" s="10">
        <f>B24*C24</f>
        <v>1209600</v>
      </c>
    </row>
    <row r="25"/>
    <row r="26" ht="26" customHeight="1">
      <c r="A26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Данные!$B$45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Данные!$B$58</f>
        <v>180000</v>
      </c>
      <c r="C10" s="35" t="n">
        <v>12</v>
      </c>
      <c r="D10" s="11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Данные!$B$46</f>
        <v>106800</v>
      </c>
      <c r="C15" s="35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Данные!$B$51</f>
        <v>160800</v>
      </c>
      <c r="C19" s="35" t="n">
        <v>12</v>
      </c>
      <c r="D19" s="10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Данные!$B$59</f>
        <v>80000</v>
      </c>
      <c r="C10" s="35">
        <f>Данные!$B$62</f>
        <v>9</v>
      </c>
      <c r="D10" s="11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84240</v>
      </c>
      <c r="C11" s="35" t="n">
        <v>1</v>
      </c>
      <c r="D11" s="11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10080</v>
      </c>
      <c r="C12" s="35">
        <f>Данные!$B$14</f>
        <v>7</v>
      </c>
      <c r="D12" s="11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20160</v>
      </c>
      <c r="C13" s="35">
        <f>Данные!$B$15</f>
        <v>5</v>
      </c>
      <c r="D13" s="11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Данные!$F$21*Данные!$B$7</f>
        <v>4735.25</v>
      </c>
      <c r="C15" s="35">
        <f>Данные!$B$14</f>
        <v>7</v>
      </c>
      <c r="D15" s="11">
        <f>B15*C15</f>
        <v>33146.75</v>
      </c>
    </row>
    <row r="16">
      <c r="A16" s="34" t="inlineStr">
        <is>
          <t>Штат УКПФ · Бутылки, 1-й контур, тёплый сезон</t>
        </is>
      </c>
      <c r="B16" s="35">
        <f>Данные!$B$21*Данные!$B$10</f>
        <v>0</v>
      </c>
      <c r="C16" s="35">
        <f>Данные!$B$14</f>
        <v>7</v>
      </c>
      <c r="D16" s="11">
        <f>B16*C16</f>
        <v>0</v>
      </c>
    </row>
    <row r="17"/>
    <row r="18" ht="26" customHeight="1">
      <c r="A18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39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7" t="inlineStr">
        <is>
          <t>МАТЕРИАЛЫ, ПЕРВЫЙ ГОД ИТОГО (с разовой закупкой станций)</t>
        </is>
      </c>
      <c r="B17" s="26" t="n"/>
      <c r="C17" s="42">
        <f>SUM(C13:C16)</f>
        <v>2974320</v>
      </c>
      <c r="D17" s="26" t="n"/>
      <c r="E17" s="26" t="n"/>
      <c r="F17" s="42">
        <f>SUM(F13:F16)</f>
        <v>932960</v>
      </c>
      <c r="G17" s="56">
        <f>SUM(G13:G16)</f>
        <v>16</v>
      </c>
      <c r="H17" s="42">
        <f>SUM(H13:H16)</f>
        <v>82880</v>
      </c>
      <c r="I17" s="56">
        <f>SUM(I13:I16)</f>
        <v>20.3</v>
      </c>
      <c r="J17" s="42">
        <f>SUM(J13:J16)</f>
        <v>517599.25</v>
      </c>
      <c r="K17" s="26" t="n"/>
      <c r="L17" s="42">
        <f>SUM(L13:L16)</f>
        <v>85204</v>
      </c>
      <c r="M17" s="42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258488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350000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5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37" t="inlineStr">
        <is>
          <t>ИТОГО ПО ФАБРИКЕ</t>
        </is>
      </c>
      <c r="B32" s="42">
        <f>SUM(B19:B31)</f>
        <v>179</v>
      </c>
      <c r="C32" s="42">
        <f>SUM(C19:C31)</f>
        <v>1198</v>
      </c>
      <c r="D32" s="42">
        <f>SUM(D19:D31)</f>
        <v>343</v>
      </c>
      <c r="E32" s="42">
        <f>SUM(E19:E31)</f>
        <v>179</v>
      </c>
      <c r="F32" s="56">
        <f>SUM(F19:F31)</f>
        <v>20.3</v>
      </c>
      <c r="G32" s="56">
        <f>SUM(G19:G31)</f>
        <v>16</v>
      </c>
      <c r="H32" s="26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29" t="inlineStr">
        <is>
          <t>Позиция</t>
        </is>
      </c>
      <c r="B35" s="29" t="inlineStr">
        <is>
          <t>Значение</t>
        </is>
      </c>
      <c r="C35" s="29" t="inlineStr">
        <is>
          <t>Ед. изм.</t>
        </is>
      </c>
      <c r="D35" s="29" t="inlineStr"/>
      <c r="E35" s="29" t="inlineStr"/>
      <c r="F35" s="29" t="inlineStr"/>
      <c r="G35" s="29" t="inlineStr"/>
      <c r="H35" s="29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2026-08-26T10:46:33Z</dcterms:created>
  <dcterms:modified xsi:type="dcterms:W3CDTF">2026-08-26T10:46:34Z</dcterms:modified>
</cp:coreProperties>
</file>