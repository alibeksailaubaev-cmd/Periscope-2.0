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—&quot;"/>
    <numFmt numFmtId="165" formatCode="0.0&quot;×&quot;"/>
    <numFmt numFmtId="166" formatCode="0 %"/>
    <numFmt numFmtId="167" formatCode="#,##0;;&quot;—&quot;"/>
    <numFmt numFmtId="168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3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vertical="center" wrapText="1"/>
    </xf>
    <xf numFmtId="0" fontId="4" fillId="3" borderId="1" pivotButton="0" quotePrefix="0" xfId="0"/>
    <xf numFmtId="0" fontId="0" fillId="0" borderId="1" pivotButton="0" quotePrefix="0" xfId="0"/>
    <xf numFmtId="0" fontId="8" fillId="0" borderId="2" pivotButton="0" quotePrefix="0" xfId="0"/>
    <xf numFmtId="0" fontId="0" fillId="0" borderId="2" pivotButton="0" quotePrefix="0" xfId="0"/>
    <xf numFmtId="164" fontId="4" fillId="3" borderId="2" pivotButton="0" quotePrefix="0" xfId="0"/>
    <xf numFmtId="164" fontId="8" fillId="3" borderId="2" pivotButton="0" quotePrefix="0" xfId="0"/>
    <xf numFmtId="165" fontId="4" fillId="0" borderId="1" applyAlignment="1" pivotButton="0" quotePrefix="0" xfId="0">
      <alignment horizontal="center"/>
    </xf>
    <xf numFmtId="166" fontId="7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164" fontId="7" fillId="0" borderId="1" pivotButton="0" quotePrefix="0" xfId="0"/>
    <xf numFmtId="0" fontId="4" fillId="0" borderId="2" applyAlignment="1" pivotButton="0" quotePrefix="0" xfId="0">
      <alignment horizontal="right"/>
    </xf>
    <xf numFmtId="164" fontId="4" fillId="0" borderId="2" pivotButton="0" quotePrefix="0" xfId="0"/>
    <xf numFmtId="0" fontId="4" fillId="0" borderId="1" pivotButton="0" quotePrefix="0" xfId="0"/>
    <xf numFmtId="167" fontId="5" fillId="0" borderId="1" pivotButton="0" quotePrefix="0" xfId="0"/>
    <xf numFmtId="168" fontId="5" fillId="0" borderId="1" pivotButton="0" quotePrefix="0" xfId="0"/>
    <xf numFmtId="0" fontId="4" fillId="0" borderId="2" pivotButton="0" quotePrefix="0" xfId="0"/>
    <xf numFmtId="168" fontId="4" fillId="0" borderId="2" pivotButton="0" quotePrefix="0" xfId="0"/>
    <xf numFmtId="167" fontId="4" fillId="0" borderId="2" pivotButton="0" quotePrefix="0" xfId="0"/>
    <xf numFmtId="164" fontId="6" fillId="4" borderId="1" pivotButton="0" quotePrefix="0" xfId="0"/>
    <xf numFmtId="168" fontId="6" fillId="4" borderId="1" pivotButton="0" quotePrefix="0" xfId="0"/>
    <xf numFmtId="166" fontId="6" fillId="4" borderId="1" pivotButton="0" quotePrefix="0" xfId="0"/>
    <xf numFmtId="165" fontId="4" fillId="0" borderId="1" applyAlignment="1" pivotButton="0" quotePrefix="0" xfId="0">
      <alignment horizontal="center"/>
    </xf>
    <xf numFmtId="168" fontId="5" fillId="0" borderId="1" pivotButton="0" quotePrefix="0" xfId="0"/>
    <xf numFmtId="168" fontId="4" fillId="0" borderId="2" pivotButton="0" quotePrefix="0" xfId="0"/>
    <xf numFmtId="168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20" customWidth="1" min="5" max="5"/>
    <col width="44" customWidth="1" min="6" max="6"/>
  </cols>
  <sheetData>
    <row r="1">
      <c r="A1" s="1" t="inlineStr">
        <is>
          <t>СРАВНЕНИЕ КП · дератизация АО «Усть-Каменогорская птицефабрика», 2026</t>
        </is>
      </c>
    </row>
    <row r="2" ht="26" customHeight="1">
      <c r="A2" s="2" t="inlineStr">
        <is>
          <t>Все суммы в тенге. Сравнивается только дератизация. Цены Indigo включают НДС, цены Pest Hunters — без НДС. Дезинсекция у обоих подрядчиков считается отдельно и сюда не входит.</t>
        </is>
      </c>
    </row>
    <row r="3"/>
    <row r="4">
      <c r="A4" s="3" t="inlineStr">
        <is>
          <t>ККЗ · КОРМОЦЕХ</t>
        </is>
      </c>
      <c r="B4" s="4" t="n"/>
      <c r="C4" s="4" t="n"/>
      <c r="D4" s="4" t="n"/>
      <c r="E4" s="4" t="n"/>
      <c r="F4" s="4" t="n"/>
    </row>
    <row r="5">
      <c r="A5" s="5" t="inlineStr">
        <is>
          <t>Вариант</t>
        </is>
      </c>
      <c r="B5" s="5" t="inlineStr">
        <is>
          <t>Что входит</t>
        </is>
      </c>
      <c r="C5" s="6" t="inlineStr">
        <is>
          <t>Обходов в месяц</t>
        </is>
      </c>
      <c r="D5" s="6" t="inlineStr">
        <is>
          <t>В среднем в месяц, ₸</t>
        </is>
      </c>
      <c r="E5" s="6" t="inlineStr">
        <is>
          <t>За год, ₸</t>
        </is>
      </c>
      <c r="F5" s="6" t="inlineStr">
        <is>
          <t>Примечание</t>
        </is>
      </c>
    </row>
    <row r="6">
      <c r="A6" s="7" t="inlineStr">
        <is>
          <t>Indigo Solutions</t>
        </is>
      </c>
      <c r="B6" s="8" t="inlineStr">
        <is>
          <t>барьер вокруг периметра кормоцеха и грязный барьер</t>
        </is>
      </c>
      <c r="C6" s="9" t="inlineStr">
        <is>
          <t>в КП не указана</t>
        </is>
      </c>
      <c r="D6" s="10">
        <f>E6/12</f>
        <v>96600</v>
      </c>
      <c r="E6" s="11">
        <f>'ККЗ'!B5</f>
        <v>1159200</v>
      </c>
      <c r="F6" s="12" t="inlineStr">
        <is>
          <t>цены КП включают НДС</t>
        </is>
      </c>
    </row>
    <row r="7">
      <c r="A7" s="7" t="inlineStr">
        <is>
          <t>Pest Hunters</t>
        </is>
      </c>
      <c r="B7" s="8" t="inlineStr">
        <is>
          <t>дератизация</t>
        </is>
      </c>
      <c r="C7" s="9" t="n">
        <v>1</v>
      </c>
      <c r="D7" s="10">
        <f>E7/12</f>
        <v>75000</v>
      </c>
      <c r="E7" s="11">
        <f>'ККЗ'!C5</f>
        <v>900000</v>
      </c>
      <c r="F7" s="12" t="inlineStr">
        <is>
          <t>без НДС; дезинсекция ещё 70 000 ₸/мес отдельно</t>
        </is>
      </c>
    </row>
    <row r="8">
      <c r="A8" s="7" t="inlineStr">
        <is>
          <t>Штат УКПФ · материалы</t>
        </is>
      </c>
      <c r="B8" s="8" t="inlineStr">
        <is>
          <t>29 приманочных станций 2-го контура, 1 кг брикетов Pest Killer</t>
        </is>
      </c>
      <c r="C8" s="9" t="n">
        <v>8</v>
      </c>
      <c r="D8" s="10">
        <f>E8/12</f>
        <v>2124.791667</v>
      </c>
      <c r="E8" s="11">
        <f>'ККЗ'!D5</f>
        <v>25497.5</v>
      </c>
      <c r="F8" s="12" t="inlineStr">
        <is>
          <t>зарплата в эту строку не входит — она общая на все объекты</t>
        </is>
      </c>
    </row>
    <row r="9"/>
    <row r="10">
      <c r="A10" s="3" t="inlineStr">
        <is>
          <t>БРОЙЛЕРНЫЕ ПЛОЩАДКИ</t>
        </is>
      </c>
      <c r="B10" s="4" t="n"/>
      <c r="C10" s="4" t="n"/>
      <c r="D10" s="4" t="n"/>
      <c r="E10" s="4" t="n"/>
      <c r="F10" s="4" t="n"/>
    </row>
    <row r="11">
      <c r="A11" s="5" t="inlineStr">
        <is>
          <t>Вариант</t>
        </is>
      </c>
      <c r="B11" s="5" t="inlineStr">
        <is>
          <t>Что входит</t>
        </is>
      </c>
      <c r="C11" s="6" t="inlineStr">
        <is>
          <t>Обходов в месяц</t>
        </is>
      </c>
      <c r="D11" s="6" t="inlineStr">
        <is>
          <t>В среднем в месяц, ₸</t>
        </is>
      </c>
      <c r="E11" s="6" t="inlineStr">
        <is>
          <t>За год, ₸</t>
        </is>
      </c>
      <c r="F11" s="6" t="inlineStr">
        <is>
          <t>Примечание</t>
        </is>
      </c>
    </row>
    <row r="12">
      <c r="A12" s="7" t="inlineStr">
        <is>
          <t>Indigo Solutions</t>
        </is>
      </c>
      <c r="B12" s="8" t="inlineStr">
        <is>
          <t>три группы: Айыртау БП, Многоэтажки Д и Г, Площадки А‚Б‚Е‚Ж‚В‚В(РМ) — полная замена оборудования</t>
        </is>
      </c>
      <c r="C12" s="9" t="inlineStr">
        <is>
          <t>в КП не указана</t>
        </is>
      </c>
      <c r="D12" s="10">
        <f>E12/12</f>
        <v>3787300</v>
      </c>
      <c r="E12" s="11">
        <f>'Бройлерные площадки'!B5</f>
        <v>45447600</v>
      </c>
      <c r="F12" s="12" t="inlineStr">
        <is>
          <t>1 139 ед. оборудования; вариант с частичной заменой — на листе «Бройлерные площадки»</t>
        </is>
      </c>
    </row>
    <row r="13">
      <c r="A13" s="7" t="inlineStr">
        <is>
          <t>Pest Hunters</t>
        </is>
      </c>
      <c r="B13" s="8" t="inlineStr">
        <is>
          <t>122 объекта, оборудование подрядчика</t>
        </is>
      </c>
      <c r="C13" s="9" t="n">
        <v>1</v>
      </c>
      <c r="D13" s="10">
        <f>E13/12</f>
        <v>2897500</v>
      </c>
      <c r="E13" s="11">
        <f>'Бройлерные площадки'!C5</f>
        <v>34770000</v>
      </c>
      <c r="F13" s="12" t="inlineStr">
        <is>
          <t>3 172 000 ₸/мес март — ноябрь и 2 074 000 ₸/мес декабрь — февраль</t>
        </is>
      </c>
    </row>
    <row r="14">
      <c r="A14" s="7" t="inlineStr">
        <is>
          <t>Штат УКПФ · материалы</t>
        </is>
      </c>
      <c r="B14" s="8" t="inlineStr">
        <is>
          <t>8 площадок: 161 / 1 096 / 268 точек по контурам, 17 кг брикетов и 15 кг Зерноцида</t>
        </is>
      </c>
      <c r="C14" s="9" t="n">
        <v>8</v>
      </c>
      <c r="D14" s="10">
        <f>E14/12</f>
        <v>103343.125</v>
      </c>
      <c r="E14" s="11">
        <f>'Бройлерные площадки'!D5</f>
        <v>1240117.5</v>
      </c>
      <c r="F14" s="12" t="inlineStr">
        <is>
          <t>зимой 1-й и 2-й контуры не заряжаются, 3-й обслуживается вдвое</t>
        </is>
      </c>
    </row>
    <row r="15"/>
    <row r="16">
      <c r="A16" s="3" t="inlineStr">
        <is>
          <t>ИНКУБАТОРИЙ</t>
        </is>
      </c>
      <c r="B16" s="4" t="n"/>
      <c r="C16" s="4" t="n"/>
      <c r="D16" s="4" t="n"/>
      <c r="E16" s="4" t="n"/>
      <c r="F16" s="4" t="n"/>
    </row>
    <row r="17">
      <c r="A17" s="5" t="inlineStr">
        <is>
          <t>Вариант</t>
        </is>
      </c>
      <c r="B17" s="5" t="inlineStr">
        <is>
          <t>Что входит</t>
        </is>
      </c>
      <c r="C17" s="6" t="inlineStr">
        <is>
          <t>Обходов в месяц</t>
        </is>
      </c>
      <c r="D17" s="6" t="inlineStr">
        <is>
          <t>В среднем в месяц, ₸</t>
        </is>
      </c>
      <c r="E17" s="6" t="inlineStr">
        <is>
          <t>За год, ₸</t>
        </is>
      </c>
      <c r="F17" s="6" t="inlineStr">
        <is>
          <t>Примечание</t>
        </is>
      </c>
    </row>
    <row r="18">
      <c r="A18" s="7" t="inlineStr">
        <is>
          <t>Indigo Solutions</t>
        </is>
      </c>
      <c r="B18" s="8" t="inlineStr">
        <is>
          <t>полная замена оборудования, 48 ед.</t>
        </is>
      </c>
      <c r="C18" s="9" t="inlineStr">
        <is>
          <t>в КП не указана</t>
        </is>
      </c>
      <c r="D18" s="10">
        <f>E18/12</f>
        <v>126200</v>
      </c>
      <c r="E18" s="11">
        <f>'Инкубаторий'!B5</f>
        <v>1514400</v>
      </c>
      <c r="F18" s="12" t="inlineStr">
        <is>
          <t>появился в КП от 19.08.2026</t>
        </is>
      </c>
    </row>
    <row r="19">
      <c r="A19" s="7" t="inlineStr">
        <is>
          <t>Pest Hunters</t>
        </is>
      </c>
      <c r="B19" s="8" t="inlineStr">
        <is>
          <t>предложения нет</t>
        </is>
      </c>
      <c r="C19" s="9" t="inlineStr">
        <is>
          <t>—</t>
        </is>
      </c>
      <c r="D19" s="10">
        <f>E19/12</f>
        <v>0</v>
      </c>
      <c r="E19" s="11">
        <f>'Инкубаторий'!C5</f>
        <v>0</v>
      </c>
      <c r="F19" s="12" t="inlineStr"/>
    </row>
    <row r="20">
      <c r="A20" s="7" t="inlineStr">
        <is>
          <t>Штат УКПФ · материалы</t>
        </is>
      </c>
      <c r="B20" s="8" t="inlineStr">
        <is>
          <t>18 / 34 / 12 точек по контурам, 1 кг брикетов и 1 кг Зерноцида</t>
        </is>
      </c>
      <c r="C20" s="9" t="n">
        <v>8</v>
      </c>
      <c r="D20" s="10">
        <f>E20/12</f>
        <v>5276.458333</v>
      </c>
      <c r="E20" s="11">
        <f>'Инкубаторий'!D5</f>
        <v>63317.5</v>
      </c>
      <c r="F20" s="12" t="inlineStr"/>
    </row>
    <row r="21"/>
    <row r="22">
      <c r="A22" s="3" t="inlineStr">
        <is>
          <t>ЗПП · ЗАВОД ПО ПЕРЕРАБОТКЕ ПТИЦЫ</t>
        </is>
      </c>
      <c r="B22" s="4" t="n"/>
      <c r="C22" s="4" t="n"/>
      <c r="D22" s="4" t="n"/>
      <c r="E22" s="4" t="n"/>
      <c r="F22" s="4" t="n"/>
    </row>
    <row r="23">
      <c r="A23" s="5" t="inlineStr">
        <is>
          <t>Вариант</t>
        </is>
      </c>
      <c r="B23" s="5" t="inlineStr">
        <is>
          <t>Что входит</t>
        </is>
      </c>
      <c r="C23" s="6" t="inlineStr">
        <is>
          <t>Обходов в месяц</t>
        </is>
      </c>
      <c r="D23" s="6" t="inlineStr">
        <is>
          <t>В среднем в месяц, ₸</t>
        </is>
      </c>
      <c r="E23" s="6" t="inlineStr">
        <is>
          <t>За год, ₸</t>
        </is>
      </c>
      <c r="F23" s="6" t="inlineStr">
        <is>
          <t>Примечание</t>
        </is>
      </c>
    </row>
    <row r="24">
      <c r="A24" s="7" t="inlineStr">
        <is>
          <t>Indigo Solutions</t>
        </is>
      </c>
      <c r="B24" s="8" t="inlineStr">
        <is>
          <t>полная замена оборудования</t>
        </is>
      </c>
      <c r="C24" s="9" t="inlineStr">
        <is>
          <t>в КП не указана</t>
        </is>
      </c>
      <c r="D24" s="10">
        <f>E24/12</f>
        <v>126200</v>
      </c>
      <c r="E24" s="11">
        <f>'ЗПП'!B5</f>
        <v>1514400</v>
      </c>
      <c r="F24" s="12" t="inlineStr">
        <is>
          <t>дезинсекция ещё 160 800 ₸/мес отдельно</t>
        </is>
      </c>
    </row>
    <row r="25">
      <c r="A25" s="7" t="inlineStr">
        <is>
          <t>Pest Hunters</t>
        </is>
      </c>
      <c r="B25" s="8" t="inlineStr">
        <is>
          <t>договор №88 от 01.01.2026 — дератизация и дезинсекция вместе</t>
        </is>
      </c>
      <c r="C25" s="9" t="n">
        <v>3</v>
      </c>
      <c r="D25" s="10">
        <f>E25/12</f>
        <v>180000</v>
      </c>
      <c r="E25" s="11">
        <f>'ЗПП'!C5</f>
        <v>2160000</v>
      </c>
      <c r="F25" s="12" t="inlineStr">
        <is>
          <t>8 309 м², бригада из трёх человек</t>
        </is>
      </c>
    </row>
    <row r="26">
      <c r="A26" s="7" t="inlineStr">
        <is>
          <t>Штат УКПФ · материалы</t>
        </is>
      </c>
      <c r="B26" s="8" t="inlineStr">
        <is>
          <t>нормы расхода по ЗПП не заданы</t>
        </is>
      </c>
      <c r="C26" s="9" t="n">
        <v>8</v>
      </c>
      <c r="D26" s="10">
        <f>E26/12</f>
        <v>0</v>
      </c>
      <c r="E26" s="11">
        <f>'ЗПП'!D5</f>
        <v>0</v>
      </c>
      <c r="F26" s="12" t="inlineStr">
        <is>
          <t>дайте нормы — строка встанет в расчёт</t>
        </is>
      </c>
    </row>
    <row r="27"/>
    <row r="28">
      <c r="A28" s="3" t="inlineStr">
        <is>
          <t>СКЛАД ТМЦ</t>
        </is>
      </c>
      <c r="B28" s="4" t="n"/>
      <c r="C28" s="4" t="n"/>
      <c r="D28" s="4" t="n"/>
      <c r="E28" s="4" t="n"/>
      <c r="F28" s="4" t="n"/>
    </row>
    <row r="29">
      <c r="A29" s="5" t="inlineStr">
        <is>
          <t>Вариант</t>
        </is>
      </c>
      <c r="B29" s="5" t="inlineStr">
        <is>
          <t>Что входит</t>
        </is>
      </c>
      <c r="C29" s="6" t="inlineStr">
        <is>
          <t>Обходов в месяц</t>
        </is>
      </c>
      <c r="D29" s="6" t="inlineStr">
        <is>
          <t>В среднем в месяц, ₸</t>
        </is>
      </c>
      <c r="E29" s="6" t="inlineStr">
        <is>
          <t>За год, ₸</t>
        </is>
      </c>
      <c r="F29" s="6" t="inlineStr">
        <is>
          <t>Примечание</t>
        </is>
      </c>
    </row>
    <row r="30">
      <c r="A30" s="7" t="inlineStr">
        <is>
          <t>Indigo Solutions</t>
        </is>
      </c>
      <c r="B30" s="8" t="inlineStr">
        <is>
          <t>предложения нет</t>
        </is>
      </c>
      <c r="C30" s="9" t="inlineStr">
        <is>
          <t>—</t>
        </is>
      </c>
      <c r="D30" s="10">
        <f>E30/12</f>
        <v>0</v>
      </c>
      <c r="E30" s="11">
        <f>'Склад ТМЦ'!B5</f>
        <v>0</v>
      </c>
      <c r="F30" s="12" t="inlineStr"/>
    </row>
    <row r="31">
      <c r="A31" s="7" t="inlineStr">
        <is>
          <t>Pest Hunters</t>
        </is>
      </c>
      <c r="B31" s="8" t="inlineStr">
        <is>
          <t>договор №921 от 01.04.2026 — дератизация и дезинсекция</t>
        </is>
      </c>
      <c r="C31" s="9" t="n">
        <v>1</v>
      </c>
      <c r="D31" s="10">
        <f>E31/12</f>
        <v>60000</v>
      </c>
      <c r="E31" s="11">
        <f>'Склад ТМЦ'!C5</f>
        <v>720000</v>
      </c>
      <c r="F31" s="12" t="inlineStr">
        <is>
          <t>действует апрель — декабрь, девять оплачиваемых месяцев</t>
        </is>
      </c>
    </row>
    <row r="32">
      <c r="A32" s="7" t="inlineStr">
        <is>
          <t>Штат УКПФ · материалы</t>
        </is>
      </c>
      <c r="B32" s="8" t="inlineStr">
        <is>
          <t>нормы расхода по складу не заданы</t>
        </is>
      </c>
      <c r="C32" s="9" t="n">
        <v>8</v>
      </c>
      <c r="D32" s="10">
        <f>E32/12</f>
        <v>0</v>
      </c>
      <c r="E32" s="11">
        <f>'Склад ТМЦ'!D5</f>
        <v>0</v>
      </c>
      <c r="F32" s="12" t="inlineStr"/>
    </row>
    <row r="33"/>
    <row r="34">
      <c r="A34" s="3" t="inlineStr">
        <is>
          <t>АБК · 11 КОРПУСОВ</t>
        </is>
      </c>
      <c r="B34" s="4" t="n"/>
      <c r="C34" s="4" t="n"/>
      <c r="D34" s="4" t="n"/>
      <c r="E34" s="4" t="n"/>
      <c r="F34" s="4" t="n"/>
    </row>
    <row r="35">
      <c r="A35" s="5" t="inlineStr">
        <is>
          <t>Вариант</t>
        </is>
      </c>
      <c r="B35" s="5" t="inlineStr">
        <is>
          <t>Что входит</t>
        </is>
      </c>
      <c r="C35" s="6" t="inlineStr">
        <is>
          <t>Обходов в месяц</t>
        </is>
      </c>
      <c r="D35" s="6" t="inlineStr">
        <is>
          <t>В среднем в месяц, ₸</t>
        </is>
      </c>
      <c r="E35" s="6" t="inlineStr">
        <is>
          <t>За год, ₸</t>
        </is>
      </c>
      <c r="F35" s="6" t="inlineStr">
        <is>
          <t>Примечание</t>
        </is>
      </c>
    </row>
    <row r="36">
      <c r="A36" s="7" t="inlineStr">
        <is>
          <t>Indigo Solutions</t>
        </is>
      </c>
      <c r="B36" s="8" t="inlineStr">
        <is>
          <t>предложения нет</t>
        </is>
      </c>
      <c r="C36" s="9" t="inlineStr">
        <is>
          <t>—</t>
        </is>
      </c>
      <c r="D36" s="10">
        <f>E36/12</f>
        <v>0</v>
      </c>
      <c r="E36" s="11">
        <f>'АБК'!B5</f>
        <v>0</v>
      </c>
      <c r="F36" s="12" t="inlineStr"/>
    </row>
    <row r="37">
      <c r="A37" s="7" t="inlineStr">
        <is>
          <t>Pest Hunters</t>
        </is>
      </c>
      <c r="B37" s="8" t="inlineStr">
        <is>
          <t>предложения нет</t>
        </is>
      </c>
      <c r="C37" s="9" t="inlineStr">
        <is>
          <t>—</t>
        </is>
      </c>
      <c r="D37" s="10">
        <f>E37/12</f>
        <v>0</v>
      </c>
      <c r="E37" s="11">
        <f>'АБК'!C5</f>
        <v>0</v>
      </c>
      <c r="F37" s="12" t="inlineStr"/>
    </row>
    <row r="38">
      <c r="A38" s="7" t="inlineStr">
        <is>
          <t>Штат УКПФ · материалы</t>
        </is>
      </c>
      <c r="B38" s="8" t="inlineStr">
        <is>
          <t>63 клеевые станции и 39 приманочных, 1,3 кг брикетов</t>
        </is>
      </c>
      <c r="C38" s="9" t="n">
        <v>8</v>
      </c>
      <c r="D38" s="10">
        <f>E38/12</f>
        <v>17042.22917</v>
      </c>
      <c r="E38" s="11">
        <f>'АБК'!D5</f>
        <v>204506.75</v>
      </c>
      <c r="F38" s="12" t="inlineStr">
        <is>
          <t>1,3 кг — приблизительная оценка, требует подтверждения</t>
        </is>
      </c>
    </row>
    <row r="39"/>
    <row r="40">
      <c r="A40" s="3" t="inlineStr">
        <is>
          <t>ИТОГО ПО ФАБРИКЕ</t>
        </is>
      </c>
      <c r="B40" s="4" t="n"/>
      <c r="C40" s="4" t="n"/>
      <c r="D40" s="4" t="n"/>
      <c r="E40" s="4" t="n"/>
      <c r="F40" s="4" t="n"/>
    </row>
    <row r="41">
      <c r="A41" s="13" t="inlineStr">
        <is>
          <t>Статья</t>
        </is>
      </c>
      <c r="B41" s="13" t="inlineStr"/>
      <c r="C41" s="13" t="inlineStr"/>
      <c r="D41" s="13" t="inlineStr">
        <is>
          <t>В среднем в месяц, ₸</t>
        </is>
      </c>
      <c r="E41" s="13" t="inlineStr">
        <is>
          <t>За год, ₸</t>
        </is>
      </c>
      <c r="F41" s="13" t="inlineStr">
        <is>
          <t>Примечание</t>
        </is>
      </c>
    </row>
    <row r="42">
      <c r="A42" s="7" t="inlineStr">
        <is>
          <t>Indigo Solutions · все объекты</t>
        </is>
      </c>
      <c r="B42" s="14" t="n"/>
      <c r="C42" s="14" t="n"/>
      <c r="D42" s="10">
        <f>E42/12</f>
        <v>4136300</v>
      </c>
      <c r="E42" s="11">
        <f>E6+E12+E18+E24+E30+E36</f>
        <v>49635600</v>
      </c>
      <c r="F42" s="12" t="inlineStr">
        <is>
          <t>полная замена оборудования; скидки — ниже</t>
        </is>
      </c>
    </row>
    <row r="43">
      <c r="A43" s="7" t="inlineStr">
        <is>
          <t>Pest Hunters · все объекты</t>
        </is>
      </c>
      <c r="B43" s="14" t="n"/>
      <c r="C43" s="14" t="n"/>
      <c r="D43" s="10">
        <f>E43/12</f>
        <v>3212500</v>
      </c>
      <c r="E43" s="11">
        <f>E7+E13+E19+E25+E31+E37</f>
        <v>38550000</v>
      </c>
      <c r="F43" s="12" t="inlineStr">
        <is>
          <t>оборудование подрядчика; цены без НДС</t>
        </is>
      </c>
    </row>
    <row r="44">
      <c r="A44" s="7" t="inlineStr">
        <is>
          <t>Штат УКПФ · материалы по объектам</t>
        </is>
      </c>
      <c r="B44" s="14" t="n"/>
      <c r="C44" s="14" t="n"/>
      <c r="D44" s="10">
        <f>E44/12</f>
        <v>127786.6042</v>
      </c>
      <c r="E44" s="11">
        <f>E8+E14+E20+E26+E32+E38</f>
        <v>1533439.25</v>
      </c>
      <c r="F44" s="12" t="inlineStr"/>
    </row>
    <row r="45">
      <c r="A45" s="7" t="inlineStr">
        <is>
          <t>Штат УКПФ · бутылки</t>
        </is>
      </c>
      <c r="B45" s="14" t="n"/>
      <c r="C45" s="14" t="n"/>
      <c r="D45" s="10">
        <f>E45/12</f>
        <v>1586.666667</v>
      </c>
      <c r="E45" s="11">
        <f>Данные!$B$11*Данные!$B$10*Данные!$B$15</f>
        <v>19040</v>
      </c>
      <c r="F45" s="12" t="inlineStr">
        <is>
          <t>по объектам не разносятся</t>
        </is>
      </c>
    </row>
    <row r="46">
      <c r="A46" s="7" t="inlineStr">
        <is>
          <t>Штат УКПФ · фонд оплаты труда</t>
        </is>
      </c>
      <c r="B46" s="14" t="n"/>
      <c r="C46" s="14" t="n"/>
      <c r="D46" s="10">
        <f>E46/12</f>
        <v>1033952</v>
      </c>
      <c r="E46" s="11">
        <f>Данные!$B$14*Данные!$B$12*12</f>
        <v>12407424</v>
      </c>
      <c r="F46" s="12" t="inlineStr">
        <is>
          <t>при окладе 258 488 ₸ и текущей численности; вариант 350 000 ₸ — на листе «Штат УКПФ»</t>
        </is>
      </c>
    </row>
    <row r="47">
      <c r="A47" s="15" t="inlineStr">
        <is>
          <t>ШТАТ УКПФ · ВСЕГО</t>
        </is>
      </c>
      <c r="B47" s="16" t="n"/>
      <c r="C47" s="16" t="n"/>
      <c r="D47" s="17">
        <f>E47/12</f>
        <v>1163325.271</v>
      </c>
      <c r="E47" s="18">
        <f>E44+E45+E46</f>
        <v>13959903.25</v>
      </c>
      <c r="F47" s="16" t="n"/>
    </row>
    <row r="48"/>
    <row r="49">
      <c r="A49" s="3" t="inlineStr">
        <is>
          <t>РАЗНИЦА С СОБСТВЕННЫМ ШТАТОМ</t>
        </is>
      </c>
      <c r="B49" s="4" t="n"/>
      <c r="C49" s="4" t="n"/>
      <c r="D49" s="4" t="n"/>
      <c r="E49" s="4" t="n"/>
      <c r="F49" s="4" t="n"/>
    </row>
    <row r="50">
      <c r="A50" s="7" t="inlineStr">
        <is>
          <t>Indigo Solutions дороже штата</t>
        </is>
      </c>
      <c r="B50" s="14" t="n"/>
      <c r="C50" s="39">
        <f>IF(E47=0,0,E42/E47)</f>
        <v>3.555583381</v>
      </c>
      <c r="D50" s="10">
        <f>E50/12</f>
        <v>2972974.729</v>
      </c>
      <c r="E50" s="11">
        <f>E42-E47</f>
        <v>35675696.75</v>
      </c>
      <c r="F50" s="14" t="n"/>
    </row>
    <row r="51">
      <c r="A51" s="7" t="inlineStr">
        <is>
          <t>Pest Hunters дороже штата</t>
        </is>
      </c>
      <c r="B51" s="14" t="n"/>
      <c r="C51" s="39">
        <f>IF(E47=0,0,E43/E47)</f>
        <v>2.761480457</v>
      </c>
      <c r="D51" s="10">
        <f>E51/12</f>
        <v>2049174.729</v>
      </c>
      <c r="E51" s="11">
        <f>E43-E47</f>
        <v>24590096.75</v>
      </c>
      <c r="F51" s="14" t="n"/>
    </row>
    <row r="52"/>
    <row r="53">
      <c r="A53" s="3" t="inlineStr">
        <is>
          <t>СКИДКИ INDIGO ИЗ КП ОТ 19.08.2026</t>
        </is>
      </c>
      <c r="B53" s="4" t="n"/>
      <c r="C53" s="4" t="n"/>
      <c r="D53" s="4" t="n"/>
      <c r="E53" s="4" t="n"/>
      <c r="F53" s="4" t="n"/>
    </row>
    <row r="54">
      <c r="A54" s="13" t="inlineStr">
        <is>
          <t>Условие</t>
        </is>
      </c>
      <c r="B54" s="13" t="inlineStr"/>
      <c r="C54" s="13" t="inlineStr">
        <is>
          <t>Ставка</t>
        </is>
      </c>
      <c r="D54" s="13" t="inlineStr">
        <is>
          <t>В среднем в месяц, ₸</t>
        </is>
      </c>
      <c r="E54" s="13" t="inlineStr">
        <is>
          <t>За год, ₸</t>
        </is>
      </c>
      <c r="F54" s="13" t="inlineStr">
        <is>
          <t>Формулировка из КП</t>
        </is>
      </c>
    </row>
    <row r="55">
      <c r="A55" s="7" t="inlineStr">
        <is>
          <t>Цена КП без скидок</t>
        </is>
      </c>
      <c r="B55" s="14" t="n"/>
      <c r="C55" s="14" t="n"/>
      <c r="D55" s="10">
        <f>E55/12</f>
        <v>4136300</v>
      </c>
      <c r="E55" s="11">
        <f>E42</f>
        <v>49635600</v>
      </c>
      <c r="F55" s="12" t="inlineStr">
        <is>
          <t>все цены приведены в тенге и включают НДС</t>
        </is>
      </c>
    </row>
    <row r="56">
      <c r="A56" s="7" t="inlineStr">
        <is>
          <t>Вся территория фабрики</t>
        </is>
      </c>
      <c r="B56" s="14" t="n"/>
      <c r="C56" s="20">
        <f>Данные!$B$64</f>
        <v>0.15</v>
      </c>
      <c r="D56" s="10">
        <f>E56/12</f>
        <v>3515855</v>
      </c>
      <c r="E56" s="11">
        <f>E42*(1-Данные!$B$64)</f>
        <v>42190260</v>
      </c>
      <c r="F56" s="12" t="inlineStr">
        <is>
          <t>при заключении договора на обслуживание всей территории птицефабрики предоставляется скидка 15 %</t>
        </is>
      </c>
    </row>
    <row r="57">
      <c r="A57" s="7" t="inlineStr">
        <is>
          <t>Вся территория + 100 % предоплата</t>
        </is>
      </c>
      <c r="B57" s="14" t="n"/>
      <c r="C57" s="14" t="n"/>
      <c r="D57" s="10">
        <f>E57/12</f>
        <v>2988476.75</v>
      </c>
      <c r="E57" s="11">
        <f>E42*(1-Данные!$B$64)*(1-Данные!$B$65)</f>
        <v>35861721</v>
      </c>
      <c r="F57" s="12" t="inlineStr">
        <is>
          <t>при внесении 100 % предоплаты за год обслуживания предоставляется дополнительная скидка 15 %</t>
        </is>
      </c>
    </row>
    <row r="58">
      <c r="A58" s="7" t="inlineStr">
        <is>
          <t>Вся территория + предоплата + неплательщик НДС</t>
        </is>
      </c>
      <c r="B58" s="14" t="n"/>
      <c r="C58" s="14" t="n"/>
      <c r="D58" s="10">
        <f>E58/12</f>
        <v>2510320.47</v>
      </c>
      <c r="E58" s="11">
        <f>E42*(1-Данные!$B$64)*(1-Данные!$B$65)*(1-Данные!$B$66)</f>
        <v>30123845.64</v>
      </c>
      <c r="F58" s="12" t="inlineStr">
        <is>
          <t>при заключении договора с компанией, не являющейся плательщиком НДС, предоставляется скидка 16 %</t>
        </is>
      </c>
    </row>
    <row r="59"/>
    <row r="60">
      <c r="A60" s="3" t="inlineStr">
        <is>
          <t>ПЕРИОДИЧНОСТЬ ОБХОДОВ</t>
        </is>
      </c>
      <c r="B60" s="4" t="n"/>
      <c r="C60" s="4" t="n"/>
      <c r="D60" s="4" t="n"/>
      <c r="E60" s="4" t="n"/>
      <c r="F60" s="4" t="n"/>
    </row>
    <row r="61">
      <c r="A61" s="13" t="inlineStr">
        <is>
          <t>Вариант</t>
        </is>
      </c>
      <c r="B61" s="13" t="inlineStr">
        <is>
          <t>Объект</t>
        </is>
      </c>
      <c r="C61" s="13" t="inlineStr">
        <is>
          <t>Обходов в месяц</t>
        </is>
      </c>
      <c r="D61" s="13" t="inlineStr"/>
      <c r="E61" s="13" t="inlineStr"/>
      <c r="F61" s="13" t="inlineStr">
        <is>
          <t>Что зафиксировано в документах</t>
        </is>
      </c>
    </row>
    <row r="62">
      <c r="A62" s="7" t="inlineStr">
        <is>
          <t>Indigo Solutions</t>
        </is>
      </c>
      <c r="B62" s="7" t="inlineStr">
        <is>
          <t>все объекты</t>
        </is>
      </c>
      <c r="C62" s="9" t="inlineStr">
        <is>
          <t>в КП не указана</t>
        </is>
      </c>
      <c r="D62" s="14" t="n"/>
      <c r="E62" s="14" t="n"/>
      <c r="F62" s="12" t="inlineStr">
        <is>
          <t>ответ по заявке ≤ 2 ч, выезд ≤ 24 ч, вызовы без ограничений, клеевые пластины меняются по мере необходимости</t>
        </is>
      </c>
    </row>
    <row r="63">
      <c r="A63" s="7" t="inlineStr">
        <is>
          <t>Pest Hunters</t>
        </is>
      </c>
      <c r="B63" s="7" t="inlineStr">
        <is>
          <t>ККЗ</t>
        </is>
      </c>
      <c r="C63" s="9" t="n">
        <v>1</v>
      </c>
      <c r="D63" s="14" t="n"/>
      <c r="E63" s="14" t="n"/>
      <c r="F63" s="12" t="inlineStr">
        <is>
          <t>выезд по запросу</t>
        </is>
      </c>
    </row>
    <row r="64">
      <c r="A64" s="7" t="inlineStr">
        <is>
          <t>Pest Hunters</t>
        </is>
      </c>
      <c r="B64" s="7" t="inlineStr">
        <is>
          <t>бройлерные площадки</t>
        </is>
      </c>
      <c r="C64" s="9" t="n">
        <v>1</v>
      </c>
      <c r="D64" s="14" t="n"/>
      <c r="E64" s="14" t="n"/>
      <c r="F64" s="12" t="inlineStr">
        <is>
          <t>дополнительные визиты по вызову заказчика</t>
        </is>
      </c>
    </row>
    <row r="65">
      <c r="A65" s="7" t="inlineStr">
        <is>
          <t>Pest Hunters</t>
        </is>
      </c>
      <c r="B65" s="7" t="inlineStr">
        <is>
          <t>ЗПП</t>
        </is>
      </c>
      <c r="C65" s="9" t="n">
        <v>3</v>
      </c>
      <c r="D65" s="14" t="n"/>
      <c r="E65" s="14" t="n"/>
      <c r="F65" s="12" t="inlineStr">
        <is>
          <t>по утверждённому графику на 2026 год, бригада из трёх человек</t>
        </is>
      </c>
    </row>
    <row r="66">
      <c r="A66" s="7" t="inlineStr">
        <is>
          <t>Pest Hunters</t>
        </is>
      </c>
      <c r="B66" s="7" t="inlineStr">
        <is>
          <t>склад ТМЦ</t>
        </is>
      </c>
      <c r="C66" s="9" t="n">
        <v>1</v>
      </c>
      <c r="D66" s="14" t="n"/>
      <c r="E66" s="14" t="n"/>
      <c r="F66" s="12" t="inlineStr">
        <is>
          <t>выезд по рекламации в течение двух рабочих дней</t>
        </is>
      </c>
    </row>
    <row r="67">
      <c r="A67" s="7" t="inlineStr">
        <is>
          <t>Штат УКПФ</t>
        </is>
      </c>
      <c r="B67" s="7" t="inlineStr">
        <is>
          <t>все объекты</t>
        </is>
      </c>
      <c r="C67" s="9" t="n">
        <v>8</v>
      </c>
      <c r="D67" s="14" t="n"/>
      <c r="E67" s="14" t="n"/>
      <c r="F67" s="12" t="inlineStr">
        <is>
          <t>присутствие на фабрике 5/2, реакция в тот же день</t>
        </is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ККЗ</t>
        </is>
      </c>
    </row>
    <row r="2" ht="26" customHeight="1">
      <c r="A2" s="21" t="inlineStr">
        <is>
          <t>Кормоцех. Indigo — КП от 19.08.2026, цены с НДС. Pest Hunters — КП №26/12, без НДС. Штат УКПФ — 29 приманочных станций 2-го контура, 1 кг брикетов Pest Killer на обработку.</t>
        </is>
      </c>
    </row>
    <row r="3"/>
    <row r="4">
      <c r="A4" s="22" t="inlineStr">
        <is>
          <t>ЗА ГОД, ₸</t>
        </is>
      </c>
      <c r="B4" s="23" t="inlineStr">
        <is>
          <t>Indigo Solutions</t>
        </is>
      </c>
      <c r="C4" s="23" t="inlineStr">
        <is>
          <t>Pest Hunters</t>
        </is>
      </c>
      <c r="D4" s="23" t="inlineStr">
        <is>
          <t>Штат УКПФ · материалы</t>
        </is>
      </c>
    </row>
    <row r="5">
      <c r="B5" s="24">
        <f>F9</f>
        <v>1159200</v>
      </c>
      <c r="C5" s="24">
        <f>F10</f>
        <v>900000</v>
      </c>
      <c r="D5" s="24">
        <f>F11+F12+F13+F14</f>
        <v>25497.5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  <c r="E7" s="4" t="n"/>
      <c r="F7" s="4" t="n"/>
    </row>
    <row r="8">
      <c r="A8" s="25" t="inlineStr">
        <is>
          <t>Вариант</t>
        </is>
      </c>
      <c r="B8" s="25" t="inlineStr">
        <is>
          <t>Что входит</t>
        </is>
      </c>
      <c r="C8" s="26" t="inlineStr">
        <is>
          <t>Обходов в месяц</t>
        </is>
      </c>
      <c r="D8" s="26" t="inlineStr">
        <is>
          <t>Цена в месяц, ₸</t>
        </is>
      </c>
      <c r="E8" s="26" t="inlineStr">
        <is>
          <t>Месяцев</t>
        </is>
      </c>
      <c r="F8" s="26" t="inlineStr">
        <is>
          <t>За год, ₸</t>
        </is>
      </c>
    </row>
    <row r="9">
      <c r="A9" s="7" t="inlineStr">
        <is>
          <t>Indigo Solutions</t>
        </is>
      </c>
      <c r="B9" s="8" t="inlineStr">
        <is>
          <t>барьер вокруг периметра кормоцеха и грязный барьер</t>
        </is>
      </c>
      <c r="C9" s="9" t="inlineStr">
        <is>
          <t>в КП не указана</t>
        </is>
      </c>
      <c r="D9" s="27">
        <f>Данные!$B$37</f>
        <v>96600</v>
      </c>
      <c r="E9" s="27" t="n">
        <v>12</v>
      </c>
      <c r="F9" s="11">
        <f>D9*E9</f>
        <v>1159200</v>
      </c>
    </row>
    <row r="10">
      <c r="A10" s="7" t="inlineStr">
        <is>
          <t>Pest Hunters</t>
        </is>
      </c>
      <c r="B10" s="8" t="inlineStr">
        <is>
          <t>дератизация</t>
        </is>
      </c>
      <c r="C10" s="9" t="n">
        <v>1</v>
      </c>
      <c r="D10" s="27">
        <f>Данные!$B$53</f>
        <v>75000</v>
      </c>
      <c r="E10" s="27" t="n">
        <v>12</v>
      </c>
      <c r="F10" s="11">
        <f>D10*E10</f>
        <v>900000</v>
      </c>
    </row>
    <row r="11">
      <c r="A11" s="7" t="inlineStr">
        <is>
          <t>Штат УКПФ</t>
        </is>
      </c>
      <c r="B11" s="8" t="inlineStr">
        <is>
          <t>Клеевые станции 3-го контура, тёплый сезон</t>
        </is>
      </c>
      <c r="C11" s="9" t="n">
        <v>8</v>
      </c>
      <c r="D11" s="27">
        <f>Данные!$D$20*Данные!$B$8</f>
        <v>0</v>
      </c>
      <c r="E11" s="27">
        <f>Данные!$B$15</f>
        <v>7</v>
      </c>
      <c r="F11" s="11">
        <f>D11*E11</f>
        <v>0</v>
      </c>
    </row>
    <row r="12">
      <c r="A12" s="7" t="inlineStr">
        <is>
          <t>Штат УКПФ</t>
        </is>
      </c>
      <c r="B12" s="8" t="inlineStr">
        <is>
          <t>Клеевые станции 3-го контура, зимний сезон — объём вдвое</t>
        </is>
      </c>
      <c r="C12" s="9" t="n">
        <v>8</v>
      </c>
      <c r="D12" s="27">
        <f>Данные!$D$20*2*Данные!$B$8</f>
        <v>0</v>
      </c>
      <c r="E12" s="27">
        <f>Данные!$B$16</f>
        <v>5</v>
      </c>
      <c r="F12" s="11">
        <f>D12*E12</f>
        <v>0</v>
      </c>
    </row>
    <row r="13">
      <c r="A13" s="7" t="inlineStr">
        <is>
          <t>Штат УКПФ</t>
        </is>
      </c>
      <c r="B13" s="8" t="inlineStr">
        <is>
          <t>Зерноцид, 2-й контур</t>
        </is>
      </c>
      <c r="C13" s="9" t="n">
        <v>8</v>
      </c>
      <c r="D13" s="27">
        <f>Данные!$G$20*Данные!$B$6</f>
        <v>0</v>
      </c>
      <c r="E13" s="27">
        <f>Данные!$B$15</f>
        <v>7</v>
      </c>
      <c r="F13" s="11">
        <f>D13*E13</f>
        <v>0</v>
      </c>
    </row>
    <row r="14">
      <c r="A14" s="7" t="inlineStr">
        <is>
          <t>Штат УКПФ</t>
        </is>
      </c>
      <c r="B14" s="8" t="inlineStr">
        <is>
          <t>Pest Killer, брикеты</t>
        </is>
      </c>
      <c r="C14" s="9" t="n">
        <v>8</v>
      </c>
      <c r="D14" s="27">
        <f>Данные!$F$20*Данные!$B$7</f>
        <v>3642.5</v>
      </c>
      <c r="E14" s="27">
        <f>Данные!$B$15</f>
        <v>7</v>
      </c>
      <c r="F14" s="11">
        <f>D14*E14</f>
        <v>25497.5</v>
      </c>
    </row>
    <row r="15">
      <c r="E15" s="28" t="inlineStr">
        <is>
          <t>Итого блока</t>
        </is>
      </c>
      <c r="F15" s="29">
        <f>SUM(F9:F14)</f>
        <v>2084697.5</v>
      </c>
    </row>
    <row r="16"/>
    <row r="17">
      <c r="A17" s="3" t="inlineStr">
        <is>
          <t>РАЗОВЫЕ ЗАТРАТЫ ШТАТА (СПРАВОЧНО)</t>
        </is>
      </c>
      <c r="B17" s="4" t="n"/>
      <c r="C17" s="4" t="n"/>
      <c r="D17" s="4" t="n"/>
      <c r="E17" s="4" t="n"/>
      <c r="F17" s="4" t="n"/>
    </row>
    <row r="18">
      <c r="A18" s="25" t="inlineStr">
        <is>
          <t>Вариант</t>
        </is>
      </c>
      <c r="B18" s="25" t="inlineStr">
        <is>
          <t>Что входит</t>
        </is>
      </c>
      <c r="C18" s="26" t="inlineStr">
        <is>
          <t>Обходов в месяц</t>
        </is>
      </c>
      <c r="D18" s="26" t="inlineStr">
        <is>
          <t>Цена в месяц, ₸</t>
        </is>
      </c>
      <c r="E18" s="26" t="inlineStr">
        <is>
          <t>Месяцев</t>
        </is>
      </c>
      <c r="F18" s="26" t="inlineStr">
        <is>
          <t>За год, ₸</t>
        </is>
      </c>
    </row>
    <row r="19">
      <c r="A19" s="7" t="inlineStr">
        <is>
          <t>Штат УКПФ</t>
        </is>
      </c>
      <c r="B19" s="8" t="inlineStr">
        <is>
          <t>Приманочные станции 1-го контура — разовая закупка</t>
        </is>
      </c>
      <c r="C19" s="9" t="inlineStr">
        <is>
          <t>—</t>
        </is>
      </c>
      <c r="D19" s="27">
        <f>Данные!$B$20*Данные!$B$9</f>
        <v>0</v>
      </c>
      <c r="E19" s="27" t="n">
        <v>1</v>
      </c>
      <c r="F19" s="10">
        <f>D19*E19</f>
        <v>0</v>
      </c>
    </row>
    <row r="20">
      <c r="A20" s="7" t="inlineStr">
        <is>
          <t>Штат УКПФ</t>
        </is>
      </c>
      <c r="B20" s="8" t="inlineStr">
        <is>
          <t>Приманочные станции 2-го контура — разовая закупка</t>
        </is>
      </c>
      <c r="C20" s="9" t="inlineStr">
        <is>
          <t>—</t>
        </is>
      </c>
      <c r="D20" s="27">
        <f>Данные!$C$20*Данные!$B$9</f>
        <v>62640</v>
      </c>
      <c r="E20" s="27" t="n">
        <v>1</v>
      </c>
      <c r="F20" s="10">
        <f>D20*E20</f>
        <v>62640</v>
      </c>
    </row>
    <row r="21">
      <c r="E21" s="28" t="inlineStr">
        <is>
          <t>Итого блока</t>
        </is>
      </c>
      <c r="F21" s="29">
        <f>SUM(F19:F20)</f>
        <v>62640</v>
      </c>
    </row>
    <row r="22"/>
    <row r="23">
      <c r="A23" s="3" t="inlineStr">
        <is>
          <t>СПРАВОЧНО: ДЕЗИНСЕКЦИЯ — В СРАВНЕНИЕ НЕ ВХОДИТ</t>
        </is>
      </c>
      <c r="B23" s="4" t="n"/>
      <c r="C23" s="4" t="n"/>
      <c r="D23" s="4" t="n"/>
      <c r="E23" s="4" t="n"/>
      <c r="F23" s="4" t="n"/>
    </row>
    <row r="24">
      <c r="A24" s="25" t="inlineStr">
        <is>
          <t>Вариант</t>
        </is>
      </c>
      <c r="B24" s="25" t="inlineStr">
        <is>
          <t>Что входит</t>
        </is>
      </c>
      <c r="C24" s="26" t="inlineStr">
        <is>
          <t>Обходов в месяц</t>
        </is>
      </c>
      <c r="D24" s="26" t="inlineStr">
        <is>
          <t>Цена в месяц, ₸</t>
        </is>
      </c>
      <c r="E24" s="26" t="inlineStr">
        <is>
          <t>Месяцев</t>
        </is>
      </c>
      <c r="F24" s="26" t="inlineStr">
        <is>
          <t>За год, ₸</t>
        </is>
      </c>
    </row>
    <row r="25">
      <c r="A25" s="7" t="inlineStr">
        <is>
          <t>Pest Hunters</t>
        </is>
      </c>
      <c r="B25" s="8" t="inlineStr">
        <is>
          <t>дезинсекция</t>
        </is>
      </c>
      <c r="C25" s="9" t="n">
        <v>1</v>
      </c>
      <c r="D25" s="27">
        <f>Данные!$B$54</f>
        <v>70000</v>
      </c>
      <c r="E25" s="27" t="n">
        <v>12</v>
      </c>
      <c r="F25" s="10">
        <f>D25*E25</f>
        <v>840000</v>
      </c>
    </row>
    <row r="26">
      <c r="E26" s="28" t="inlineStr">
        <is>
          <t>Итого блока</t>
        </is>
      </c>
      <c r="F26" s="29">
        <f>SUM(F25:F25)</f>
        <v>840000</v>
      </c>
    </row>
    <row r="27"/>
    <row r="28" ht="28" customHeight="1">
      <c r="A28" s="21" t="inlineStr">
        <is>
          <t>Зерноцид по ККЗ в нормах не заявлен, поэтому строка Зерноцида даёт ноль.</t>
        </is>
      </c>
    </row>
    <row r="29" ht="28" customHeight="1">
      <c r="A29" s="21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:F2"/>
    <mergeCell ref="A29:F29"/>
    <mergeCell ref="A28:F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Бройлерные площадки</t>
        </is>
      </c>
    </row>
    <row r="2" ht="26" customHeight="1">
      <c r="A2" s="21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22" t="inlineStr">
        <is>
          <t>ЗА ГОД, ₸</t>
        </is>
      </c>
      <c r="B4" s="23" t="inlineStr">
        <is>
          <t>Indigo Solutions</t>
        </is>
      </c>
      <c r="C4" s="23" t="inlineStr">
        <is>
          <t>Pest Hunters</t>
        </is>
      </c>
      <c r="D4" s="23" t="inlineStr">
        <is>
          <t>Штат УКПФ · материалы</t>
        </is>
      </c>
    </row>
    <row r="5">
      <c r="B5" s="24">
        <f>F9+F10+F11</f>
        <v>45447600</v>
      </c>
      <c r="C5" s="24">
        <f>F12+F13</f>
        <v>34770000</v>
      </c>
      <c r="D5" s="24">
        <f>F14+F15+F16+F17</f>
        <v>1240117.5</v>
      </c>
    </row>
    <row r="6"/>
    <row r="7">
      <c r="A7" s="3" t="inlineStr">
        <is>
          <t>ДЕРАТИЗАЦИЯ — ОСНОВНОЙ ВАРИАНТ</t>
        </is>
      </c>
      <c r="B7" s="4" t="n"/>
      <c r="C7" s="4" t="n"/>
      <c r="D7" s="4" t="n"/>
      <c r="E7" s="4" t="n"/>
      <c r="F7" s="4" t="n"/>
    </row>
    <row r="8">
      <c r="A8" s="25" t="inlineStr">
        <is>
          <t>Вариант</t>
        </is>
      </c>
      <c r="B8" s="25" t="inlineStr">
        <is>
          <t>Что входит</t>
        </is>
      </c>
      <c r="C8" s="26" t="inlineStr">
        <is>
          <t>Обходов в месяц</t>
        </is>
      </c>
      <c r="D8" s="26" t="inlineStr">
        <is>
          <t>Цена в месяц, ₸</t>
        </is>
      </c>
      <c r="E8" s="26" t="inlineStr">
        <is>
          <t>Месяцев</t>
        </is>
      </c>
      <c r="F8" s="26" t="inlineStr">
        <is>
          <t>За год, ₸</t>
        </is>
      </c>
    </row>
    <row r="9">
      <c r="A9" s="7" t="inlineStr">
        <is>
          <t>Indigo Solutions</t>
        </is>
      </c>
      <c r="B9" s="8" t="inlineStr">
        <is>
          <t>Айыртау БП (БП-12, БП-13, БП-14) — полная замена, 180 ед.</t>
        </is>
      </c>
      <c r="C9" s="9" t="inlineStr">
        <is>
          <t>в КП не указана</t>
        </is>
      </c>
      <c r="D9" s="27">
        <f>Данные!$B$38</f>
        <v>618400</v>
      </c>
      <c r="E9" s="27" t="n">
        <v>12</v>
      </c>
      <c r="F9" s="11">
        <f>D9*E9</f>
        <v>7420800</v>
      </c>
    </row>
    <row r="10">
      <c r="A10" s="7" t="inlineStr">
        <is>
          <t>Indigo Solutions</t>
        </is>
      </c>
      <c r="B10" s="8" t="inlineStr">
        <is>
          <t>Многоэтажки, площадки Д и Г — полная замена, 166 ед.</t>
        </is>
      </c>
      <c r="C10" s="9" t="inlineStr">
        <is>
          <t>в КП не указана</t>
        </is>
      </c>
      <c r="D10" s="27">
        <f>Данные!$B$40</f>
        <v>569800</v>
      </c>
      <c r="E10" s="27" t="n">
        <v>12</v>
      </c>
      <c r="F10" s="11">
        <f>D10*E10</f>
        <v>6837600</v>
      </c>
    </row>
    <row r="11">
      <c r="A11" s="7" t="inlineStr">
        <is>
          <t>Indigo Solutions</t>
        </is>
      </c>
      <c r="B11" s="8" t="inlineStr">
        <is>
          <t>Площадки А, Б, Е, Ж, В (рем. молод), В — полная замена, 793 ед.</t>
        </is>
      </c>
      <c r="C11" s="9" t="inlineStr">
        <is>
          <t>в КП не указана</t>
        </is>
      </c>
      <c r="D11" s="27">
        <f>Данные!$B$42</f>
        <v>2599100</v>
      </c>
      <c r="E11" s="27" t="n">
        <v>12</v>
      </c>
      <c r="F11" s="11">
        <f>D11*E11</f>
        <v>31189200</v>
      </c>
    </row>
    <row r="12">
      <c r="A12" s="7" t="inlineStr">
        <is>
          <t>Pest Hunters</t>
        </is>
      </c>
      <c r="B12" s="8" t="inlineStr">
        <is>
          <t>122 объекта, март — ноябрь, оборудование подрядчика</t>
        </is>
      </c>
      <c r="C12" s="9" t="n">
        <v>1</v>
      </c>
      <c r="D12" s="27">
        <f>Данные!$B$55</f>
        <v>3172000</v>
      </c>
      <c r="E12" s="27">
        <f>Данные!$B$61</f>
        <v>9</v>
      </c>
      <c r="F12" s="11">
        <f>D12*E12</f>
        <v>28548000</v>
      </c>
    </row>
    <row r="13">
      <c r="A13" s="7" t="inlineStr">
        <is>
          <t>Pest Hunters</t>
        </is>
      </c>
      <c r="B13" s="8" t="inlineStr">
        <is>
          <t>122 объекта, декабрь — февраль, оборудование подрядчика</t>
        </is>
      </c>
      <c r="C13" s="9" t="n">
        <v>1</v>
      </c>
      <c r="D13" s="27">
        <f>Данные!$B$56</f>
        <v>2074000</v>
      </c>
      <c r="E13" s="27">
        <f>Данные!$B$62</f>
        <v>3</v>
      </c>
      <c r="F13" s="11">
        <f>D13*E13</f>
        <v>6222000</v>
      </c>
    </row>
    <row r="14">
      <c r="A14" s="7" t="inlineStr">
        <is>
          <t>Штат УКПФ</t>
        </is>
      </c>
      <c r="B14" s="8" t="inlineStr">
        <is>
          <t>Клеевые станции 3-го контура, тёплый сезон</t>
        </is>
      </c>
      <c r="C14" s="9" t="n">
        <v>8</v>
      </c>
      <c r="D14" s="27">
        <f>SUM(Данные!$D$23:$D$30)*Данные!$B$8</f>
        <v>42880</v>
      </c>
      <c r="E14" s="27">
        <f>Данные!$B$15</f>
        <v>7</v>
      </c>
      <c r="F14" s="11">
        <f>D14*E14</f>
        <v>300160</v>
      </c>
    </row>
    <row r="15">
      <c r="A15" s="7" t="inlineStr">
        <is>
          <t>Штат УКПФ</t>
        </is>
      </c>
      <c r="B15" s="8" t="inlineStr">
        <is>
          <t>Клеевые станции 3-го контура, зимний сезон — объём вдвое</t>
        </is>
      </c>
      <c r="C15" s="9" t="n">
        <v>8</v>
      </c>
      <c r="D15" s="27">
        <f>SUM(Данные!$D$23:$D$30)*2*Данные!$B$8</f>
        <v>85760</v>
      </c>
      <c r="E15" s="27">
        <f>Данные!$B$16</f>
        <v>5</v>
      </c>
      <c r="F15" s="11">
        <f>D15*E15</f>
        <v>428800</v>
      </c>
    </row>
    <row r="16">
      <c r="A16" s="7" t="inlineStr">
        <is>
          <t>Штат УКПФ</t>
        </is>
      </c>
      <c r="B16" s="8" t="inlineStr">
        <is>
          <t>Зерноцид, 2-й контур</t>
        </is>
      </c>
      <c r="C16" s="9" t="n">
        <v>8</v>
      </c>
      <c r="D16" s="27">
        <f>SUM(Данные!$G$23:$G$30)*Данные!$B$6</f>
        <v>11100</v>
      </c>
      <c r="E16" s="27">
        <f>Данные!$B$15</f>
        <v>7</v>
      </c>
      <c r="F16" s="11">
        <f>D16*E16</f>
        <v>77700</v>
      </c>
    </row>
    <row r="17">
      <c r="A17" s="7" t="inlineStr">
        <is>
          <t>Штат УКПФ</t>
        </is>
      </c>
      <c r="B17" s="8" t="inlineStr">
        <is>
          <t>Pest Killer, брикеты</t>
        </is>
      </c>
      <c r="C17" s="9" t="n">
        <v>8</v>
      </c>
      <c r="D17" s="27">
        <f>SUM(Данные!$F$23:$F$30)*Данные!$B$7</f>
        <v>61922.5</v>
      </c>
      <c r="E17" s="27">
        <f>Данные!$B$15</f>
        <v>7</v>
      </c>
      <c r="F17" s="11">
        <f>D17*E17</f>
        <v>433457.5</v>
      </c>
    </row>
    <row r="18">
      <c r="E18" s="28" t="inlineStr">
        <is>
          <t>Итого блока</t>
        </is>
      </c>
      <c r="F18" s="29">
        <f>SUM(F9:F17)</f>
        <v>81457717.5</v>
      </c>
    </row>
    <row r="19"/>
    <row r="20">
      <c r="A20" s="3" t="inlineStr">
        <is>
          <t>АЛЬТЕРНАТИВНЫЕ ВАРИАНТЫ ИЗ ТЕХ ЖЕ КП</t>
        </is>
      </c>
      <c r="B20" s="4" t="n"/>
      <c r="C20" s="4" t="n"/>
      <c r="D20" s="4" t="n"/>
      <c r="E20" s="4" t="n"/>
      <c r="F20" s="4" t="n"/>
    </row>
    <row r="21">
      <c r="A21" s="25" t="inlineStr">
        <is>
          <t>Вариант</t>
        </is>
      </c>
      <c r="B21" s="25" t="inlineStr">
        <is>
          <t>Что входит</t>
        </is>
      </c>
      <c r="C21" s="26" t="inlineStr">
        <is>
          <t>Обходов в месяц</t>
        </is>
      </c>
      <c r="D21" s="26" t="inlineStr">
        <is>
          <t>Цена в месяц, ₸</t>
        </is>
      </c>
      <c r="E21" s="26" t="inlineStr">
        <is>
          <t>Месяцев</t>
        </is>
      </c>
      <c r="F21" s="26" t="inlineStr">
        <is>
          <t>За год, ₸</t>
        </is>
      </c>
    </row>
    <row r="22">
      <c r="A22" s="7" t="inlineStr">
        <is>
          <t>Indigo Solutions</t>
        </is>
      </c>
      <c r="B22" s="8" t="inlineStr">
        <is>
          <t>Айыртау БП — частичная замена</t>
        </is>
      </c>
      <c r="C22" s="9" t="inlineStr">
        <is>
          <t>в КП не указана</t>
        </is>
      </c>
      <c r="D22" s="27">
        <f>Данные!$B$39</f>
        <v>478400</v>
      </c>
      <c r="E22" s="27" t="n">
        <v>12</v>
      </c>
      <c r="F22" s="10">
        <f>D22*E22</f>
        <v>5740800</v>
      </c>
    </row>
    <row r="23">
      <c r="A23" s="7" t="inlineStr">
        <is>
          <t>Indigo Solutions</t>
        </is>
      </c>
      <c r="B23" s="8" t="inlineStr">
        <is>
          <t>Многоэтажки Д и Г — частичная замена</t>
        </is>
      </c>
      <c r="C23" s="9" t="inlineStr">
        <is>
          <t>в КП не указана</t>
        </is>
      </c>
      <c r="D23" s="27">
        <f>Данные!$B$41</f>
        <v>440700</v>
      </c>
      <c r="E23" s="27" t="n">
        <v>12</v>
      </c>
      <c r="F23" s="10">
        <f>D23*E23</f>
        <v>5288400</v>
      </c>
    </row>
    <row r="24">
      <c r="A24" s="7" t="inlineStr">
        <is>
          <t>Indigo Solutions</t>
        </is>
      </c>
      <c r="B24" s="8" t="inlineStr">
        <is>
          <t>Площадки А, Б, Е, Ж, В (РМ), В — частичная замена</t>
        </is>
      </c>
      <c r="C24" s="9" t="inlineStr">
        <is>
          <t>в КП не указана</t>
        </is>
      </c>
      <c r="D24" s="27">
        <f>Данные!$B$43</f>
        <v>2010300</v>
      </c>
      <c r="E24" s="27" t="n">
        <v>12</v>
      </c>
      <c r="F24" s="10">
        <f>D24*E24</f>
        <v>24123600</v>
      </c>
    </row>
    <row r="25">
      <c r="A25" s="7" t="inlineStr">
        <is>
          <t>Pest Hunters</t>
        </is>
      </c>
      <c r="B25" s="8" t="inlineStr">
        <is>
          <t>122 объекта, март — ноябрь, оборудование заказчика</t>
        </is>
      </c>
      <c r="C25" s="9" t="n">
        <v>1</v>
      </c>
      <c r="D25" s="27">
        <f>Данные!$B$57</f>
        <v>2806000</v>
      </c>
      <c r="E25" s="27">
        <f>Данные!$B$61</f>
        <v>9</v>
      </c>
      <c r="F25" s="10">
        <f>D25*E25</f>
        <v>25254000</v>
      </c>
    </row>
    <row r="26">
      <c r="A26" s="7" t="inlineStr">
        <is>
          <t>Pest Hunters</t>
        </is>
      </c>
      <c r="B26" s="8" t="inlineStr">
        <is>
          <t>122 объекта, декабрь — февраль, оборудование заказчика</t>
        </is>
      </c>
      <c r="C26" s="9" t="n">
        <v>1</v>
      </c>
      <c r="D26" s="27">
        <f>Данные!$B$58</f>
        <v>1830000</v>
      </c>
      <c r="E26" s="27">
        <f>Данные!$B$62</f>
        <v>3</v>
      </c>
      <c r="F26" s="10">
        <f>D26*E26</f>
        <v>5490000</v>
      </c>
    </row>
    <row r="27">
      <c r="E27" s="28" t="inlineStr">
        <is>
          <t>Итого блока</t>
        </is>
      </c>
      <c r="F27" s="29">
        <f>SUM(F22:F26)</f>
        <v>65896800</v>
      </c>
    </row>
    <row r="28"/>
    <row r="29">
      <c r="A29" s="3" t="inlineStr">
        <is>
          <t>РАЗОВЫЕ ЗАТРАТЫ ШТАТА (СПРАВОЧНО)</t>
        </is>
      </c>
      <c r="B29" s="4" t="n"/>
      <c r="C29" s="4" t="n"/>
      <c r="D29" s="4" t="n"/>
      <c r="E29" s="4" t="n"/>
      <c r="F29" s="4" t="n"/>
    </row>
    <row r="30">
      <c r="A30" s="25" t="inlineStr">
        <is>
          <t>Вариант</t>
        </is>
      </c>
      <c r="B30" s="25" t="inlineStr">
        <is>
          <t>Что входит</t>
        </is>
      </c>
      <c r="C30" s="26" t="inlineStr">
        <is>
          <t>Обходов в месяц</t>
        </is>
      </c>
      <c r="D30" s="26" t="inlineStr">
        <is>
          <t>Цена в месяц, ₸</t>
        </is>
      </c>
      <c r="E30" s="26" t="inlineStr">
        <is>
          <t>Месяцев</t>
        </is>
      </c>
      <c r="F30" s="26" t="inlineStr">
        <is>
          <t>За год, ₸</t>
        </is>
      </c>
    </row>
    <row r="31">
      <c r="A31" s="7" t="inlineStr">
        <is>
          <t>Штат УКПФ</t>
        </is>
      </c>
      <c r="B31" s="8" t="inlineStr">
        <is>
          <t>Приманочные станции 1-го контура — разовая закупка</t>
        </is>
      </c>
      <c r="C31" s="9" t="inlineStr">
        <is>
          <t>—</t>
        </is>
      </c>
      <c r="D31" s="27">
        <f>SUM(Данные!$B$23:$B$30)*Данные!$B$9</f>
        <v>347760</v>
      </c>
      <c r="E31" s="27" t="n">
        <v>1</v>
      </c>
      <c r="F31" s="10">
        <f>D31*E31</f>
        <v>347760</v>
      </c>
    </row>
    <row r="32">
      <c r="A32" s="7" t="inlineStr">
        <is>
          <t>Штат УКПФ</t>
        </is>
      </c>
      <c r="B32" s="8" t="inlineStr">
        <is>
          <t>Приманочные станции 2-го контура — разовая закупка</t>
        </is>
      </c>
      <c r="C32" s="9" t="inlineStr">
        <is>
          <t>—</t>
        </is>
      </c>
      <c r="D32" s="27">
        <f>SUM(Данные!$C$23:$C$30)*Данные!$B$9</f>
        <v>2367360</v>
      </c>
      <c r="E32" s="27" t="n">
        <v>1</v>
      </c>
      <c r="F32" s="10">
        <f>D32*E32</f>
        <v>2367360</v>
      </c>
    </row>
    <row r="33">
      <c r="E33" s="28" t="inlineStr">
        <is>
          <t>Итого блока</t>
        </is>
      </c>
      <c r="F33" s="29">
        <f>SUM(F31:F32)</f>
        <v>2715120</v>
      </c>
    </row>
    <row r="34"/>
    <row r="35">
      <c r="A35" s="3" t="inlineStr">
        <is>
          <t>СПРАВОЧНО: ДЕЗИНСЕКЦИЯ — В СРАВНЕНИЕ НЕ ВХОДИТ</t>
        </is>
      </c>
      <c r="B35" s="4" t="n"/>
      <c r="C35" s="4" t="n"/>
      <c r="D35" s="4" t="n"/>
      <c r="E35" s="4" t="n"/>
      <c r="F35" s="4" t="n"/>
    </row>
    <row r="36">
      <c r="A36" s="25" t="inlineStr">
        <is>
          <t>Вариант</t>
        </is>
      </c>
      <c r="B36" s="25" t="inlineStr">
        <is>
          <t>Что входит</t>
        </is>
      </c>
      <c r="C36" s="26" t="inlineStr">
        <is>
          <t>Обходов в месяц</t>
        </is>
      </c>
      <c r="D36" s="26" t="inlineStr">
        <is>
          <t>Цена в месяц, ₸</t>
        </is>
      </c>
      <c r="E36" s="26" t="inlineStr">
        <is>
          <t>Месяцев</t>
        </is>
      </c>
      <c r="F36" s="26" t="inlineStr">
        <is>
          <t>За год, ₸</t>
        </is>
      </c>
    </row>
    <row r="37">
      <c r="A37" s="7" t="inlineStr">
        <is>
          <t>Indigo Solutions</t>
        </is>
      </c>
      <c r="B37" s="8" t="inlineStr">
        <is>
          <t>Айыртау БП</t>
        </is>
      </c>
      <c r="C37" s="9" t="inlineStr">
        <is>
          <t>в КП не указана</t>
        </is>
      </c>
      <c r="D37" s="27">
        <f>Данные!$B$48</f>
        <v>720000</v>
      </c>
      <c r="E37" s="27" t="n">
        <v>12</v>
      </c>
      <c r="F37" s="10">
        <f>D37*E37</f>
        <v>8640000</v>
      </c>
    </row>
    <row r="38">
      <c r="A38" s="7" t="inlineStr">
        <is>
          <t>Indigo Solutions</t>
        </is>
      </c>
      <c r="B38" s="8" t="inlineStr">
        <is>
          <t>Многоэтажки Д и Г</t>
        </is>
      </c>
      <c r="C38" s="9" t="inlineStr">
        <is>
          <t>в КП не указана</t>
        </is>
      </c>
      <c r="D38" s="27">
        <f>Данные!$B$49</f>
        <v>1080000</v>
      </c>
      <c r="E38" s="27" t="n">
        <v>12</v>
      </c>
      <c r="F38" s="10">
        <f>D38*E38</f>
        <v>12960000</v>
      </c>
    </row>
    <row r="39">
      <c r="A39" s="7" t="inlineStr">
        <is>
          <t>Indigo Solutions</t>
        </is>
      </c>
      <c r="B39" s="8" t="inlineStr">
        <is>
          <t>Площадки А, Б, Е, Ж, В (РМ), В</t>
        </is>
      </c>
      <c r="C39" s="9" t="inlineStr">
        <is>
          <t>в КП не указана</t>
        </is>
      </c>
      <c r="D39" s="27">
        <f>Данные!$B$50</f>
        <v>3000000</v>
      </c>
      <c r="E39" s="27" t="n">
        <v>12</v>
      </c>
      <c r="F39" s="10">
        <f>D39*E39</f>
        <v>36000000</v>
      </c>
    </row>
    <row r="40">
      <c r="E40" s="28" t="inlineStr">
        <is>
          <t>Итого блока</t>
        </is>
      </c>
      <c r="F40" s="29">
        <f>SUM(F37:F39)</f>
        <v>57600000</v>
      </c>
    </row>
    <row r="41"/>
    <row r="42" ht="28" customHeight="1">
      <c r="A42" s="21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43" ht="28" customHeight="1">
      <c r="A43" s="21" t="inlineStr">
        <is>
          <t>Разовая закупка приманочных станций 1-го и 2-го контура показана справочно и в годовой итог не входит.</t>
        </is>
      </c>
    </row>
  </sheetData>
  <mergeCells count="3">
    <mergeCell ref="A2:F2"/>
    <mergeCell ref="A42:F42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Инкубаторий</t>
        </is>
      </c>
    </row>
    <row r="2" ht="26" customHeight="1">
      <c r="A2" s="21" t="inlineStr">
        <is>
          <t>У Indigo появился в КП от 19.08.2026: 48 ед. оборудования. У Pest Hunters предложения нет.</t>
        </is>
      </c>
    </row>
    <row r="3"/>
    <row r="4">
      <c r="A4" s="22" t="inlineStr">
        <is>
          <t>ЗА ГОД, ₸</t>
        </is>
      </c>
      <c r="B4" s="23" t="inlineStr">
        <is>
          <t>Indigo Solutions</t>
        </is>
      </c>
      <c r="C4" s="23" t="inlineStr">
        <is>
          <t>Pest Hunters</t>
        </is>
      </c>
      <c r="D4" s="23" t="inlineStr">
        <is>
          <t>Штат УКПФ · материалы</t>
        </is>
      </c>
    </row>
    <row r="5">
      <c r="B5" s="24">
        <f>F9</f>
        <v>1514400</v>
      </c>
      <c r="C5" s="24">
        <f>F10</f>
        <v>0</v>
      </c>
      <c r="D5" s="24">
        <f>F11+F12+F13+F14</f>
        <v>63317.5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  <c r="E7" s="4" t="n"/>
      <c r="F7" s="4" t="n"/>
    </row>
    <row r="8">
      <c r="A8" s="25" t="inlineStr">
        <is>
          <t>Вариант</t>
        </is>
      </c>
      <c r="B8" s="25" t="inlineStr">
        <is>
          <t>Что входит</t>
        </is>
      </c>
      <c r="C8" s="26" t="inlineStr">
        <is>
          <t>Обходов в месяц</t>
        </is>
      </c>
      <c r="D8" s="26" t="inlineStr">
        <is>
          <t>Цена в месяц, ₸</t>
        </is>
      </c>
      <c r="E8" s="26" t="inlineStr">
        <is>
          <t>Месяцев</t>
        </is>
      </c>
      <c r="F8" s="26" t="inlineStr">
        <is>
          <t>За год, ₸</t>
        </is>
      </c>
    </row>
    <row r="9">
      <c r="A9" s="7" t="inlineStr">
        <is>
          <t>Indigo Solutions</t>
        </is>
      </c>
      <c r="B9" s="8" t="inlineStr">
        <is>
          <t>полная замена оборудования, 48 ед.</t>
        </is>
      </c>
      <c r="C9" s="9" t="inlineStr">
        <is>
          <t>в КП не указана</t>
        </is>
      </c>
      <c r="D9" s="27">
        <f>Данные!$B$44</f>
        <v>126200</v>
      </c>
      <c r="E9" s="27" t="n">
        <v>12</v>
      </c>
      <c r="F9" s="11">
        <f>D9*E9</f>
        <v>1514400</v>
      </c>
    </row>
    <row r="10">
      <c r="A10" s="7" t="inlineStr">
        <is>
          <t>Pest Hunters</t>
        </is>
      </c>
      <c r="B10" s="8" t="inlineStr">
        <is>
          <t>нет в КП</t>
        </is>
      </c>
      <c r="C10" s="9" t="inlineStr">
        <is>
          <t>—</t>
        </is>
      </c>
      <c r="D10" s="27" t="n">
        <v>0</v>
      </c>
      <c r="E10" s="27" t="n">
        <v>0</v>
      </c>
      <c r="F10" s="11">
        <f>D10*E10</f>
        <v>0</v>
      </c>
    </row>
    <row r="11">
      <c r="A11" s="7" t="inlineStr">
        <is>
          <t>Штат УКПФ</t>
        </is>
      </c>
      <c r="B11" s="8" t="inlineStr">
        <is>
          <t>Клеевые станции 3-го контура, тёплый сезон</t>
        </is>
      </c>
      <c r="C11" s="9" t="n">
        <v>8</v>
      </c>
      <c r="D11" s="27">
        <f>Данные!$D$21*Данные!$B$8</f>
        <v>1920</v>
      </c>
      <c r="E11" s="27">
        <f>Данные!$B$15</f>
        <v>7</v>
      </c>
      <c r="F11" s="11">
        <f>D11*E11</f>
        <v>13440</v>
      </c>
    </row>
    <row r="12">
      <c r="A12" s="7" t="inlineStr">
        <is>
          <t>Штат УКПФ</t>
        </is>
      </c>
      <c r="B12" s="8" t="inlineStr">
        <is>
          <t>Клеевые станции 3-го контура, зимний сезон — объём вдвое</t>
        </is>
      </c>
      <c r="C12" s="9" t="n">
        <v>8</v>
      </c>
      <c r="D12" s="27">
        <f>Данные!$D$21*2*Данные!$B$8</f>
        <v>3840</v>
      </c>
      <c r="E12" s="27">
        <f>Данные!$B$16</f>
        <v>5</v>
      </c>
      <c r="F12" s="11">
        <f>D12*E12</f>
        <v>19200</v>
      </c>
    </row>
    <row r="13">
      <c r="A13" s="7" t="inlineStr">
        <is>
          <t>Штат УКПФ</t>
        </is>
      </c>
      <c r="B13" s="8" t="inlineStr">
        <is>
          <t>Зерноцид, 2-й контур</t>
        </is>
      </c>
      <c r="C13" s="9" t="n">
        <v>8</v>
      </c>
      <c r="D13" s="27">
        <f>Данные!$G$21*Данные!$B$6</f>
        <v>740</v>
      </c>
      <c r="E13" s="27">
        <f>Данные!$B$15</f>
        <v>7</v>
      </c>
      <c r="F13" s="11">
        <f>D13*E13</f>
        <v>5180</v>
      </c>
    </row>
    <row r="14">
      <c r="A14" s="7" t="inlineStr">
        <is>
          <t>Штат УКПФ</t>
        </is>
      </c>
      <c r="B14" s="8" t="inlineStr">
        <is>
          <t>Pest Killer, брикеты</t>
        </is>
      </c>
      <c r="C14" s="9" t="n">
        <v>8</v>
      </c>
      <c r="D14" s="27">
        <f>Данные!$F$21*Данные!$B$7</f>
        <v>3642.5</v>
      </c>
      <c r="E14" s="27">
        <f>Данные!$B$15</f>
        <v>7</v>
      </c>
      <c r="F14" s="11">
        <f>D14*E14</f>
        <v>25497.5</v>
      </c>
    </row>
    <row r="15">
      <c r="E15" s="28" t="inlineStr">
        <is>
          <t>Итого блока</t>
        </is>
      </c>
      <c r="F15" s="29">
        <f>SUM(F9:F14)</f>
        <v>1577717.5</v>
      </c>
    </row>
    <row r="16"/>
    <row r="17">
      <c r="A17" s="3" t="inlineStr">
        <is>
          <t>АЛЬТЕРНАТИВНЫЙ ВАРИАНТ INDIGO</t>
        </is>
      </c>
      <c r="B17" s="4" t="n"/>
      <c r="C17" s="4" t="n"/>
      <c r="D17" s="4" t="n"/>
      <c r="E17" s="4" t="n"/>
      <c r="F17" s="4" t="n"/>
    </row>
    <row r="18">
      <c r="A18" s="25" t="inlineStr">
        <is>
          <t>Вариант</t>
        </is>
      </c>
      <c r="B18" s="25" t="inlineStr">
        <is>
          <t>Что входит</t>
        </is>
      </c>
      <c r="C18" s="26" t="inlineStr">
        <is>
          <t>Обходов в месяц</t>
        </is>
      </c>
      <c r="D18" s="26" t="inlineStr">
        <is>
          <t>Цена в месяц, ₸</t>
        </is>
      </c>
      <c r="E18" s="26" t="inlineStr">
        <is>
          <t>Месяцев</t>
        </is>
      </c>
      <c r="F18" s="26" t="inlineStr">
        <is>
          <t>За год, ₸</t>
        </is>
      </c>
    </row>
    <row r="19">
      <c r="A19" s="7" t="inlineStr">
        <is>
          <t>Indigo Solutions</t>
        </is>
      </c>
      <c r="B19" s="8" t="inlineStr">
        <is>
          <t>частичная замена оборудования</t>
        </is>
      </c>
      <c r="C19" s="9" t="inlineStr">
        <is>
          <t>в КП не указана</t>
        </is>
      </c>
      <c r="D19" s="27">
        <f>Данные!$B$45</f>
        <v>106800</v>
      </c>
      <c r="E19" s="27" t="n">
        <v>12</v>
      </c>
      <c r="F19" s="10">
        <f>D19*E19</f>
        <v>1281600</v>
      </c>
    </row>
    <row r="20">
      <c r="E20" s="28" t="inlineStr">
        <is>
          <t>Итого блока</t>
        </is>
      </c>
      <c r="F20" s="29">
        <f>SUM(F19:F19)</f>
        <v>1281600</v>
      </c>
    </row>
    <row r="21"/>
    <row r="22">
      <c r="A22" s="3" t="inlineStr">
        <is>
          <t>РАЗОВЫЕ ЗАТРАТЫ ШТАТА (СПРАВОЧНО)</t>
        </is>
      </c>
      <c r="B22" s="4" t="n"/>
      <c r="C22" s="4" t="n"/>
      <c r="D22" s="4" t="n"/>
      <c r="E22" s="4" t="n"/>
      <c r="F22" s="4" t="n"/>
    </row>
    <row r="23">
      <c r="A23" s="25" t="inlineStr">
        <is>
          <t>Вариант</t>
        </is>
      </c>
      <c r="B23" s="25" t="inlineStr">
        <is>
          <t>Что входит</t>
        </is>
      </c>
      <c r="C23" s="26" t="inlineStr">
        <is>
          <t>Обходов в месяц</t>
        </is>
      </c>
      <c r="D23" s="26" t="inlineStr">
        <is>
          <t>Цена в месяц, ₸</t>
        </is>
      </c>
      <c r="E23" s="26" t="inlineStr">
        <is>
          <t>Месяцев</t>
        </is>
      </c>
      <c r="F23" s="26" t="inlineStr">
        <is>
          <t>За год, ₸</t>
        </is>
      </c>
    </row>
    <row r="24">
      <c r="A24" s="7" t="inlineStr">
        <is>
          <t>Штат УКПФ</t>
        </is>
      </c>
      <c r="B24" s="8" t="inlineStr">
        <is>
          <t>Приманочные станции 1-го контура — разовая закупка</t>
        </is>
      </c>
      <c r="C24" s="9" t="inlineStr">
        <is>
          <t>—</t>
        </is>
      </c>
      <c r="D24" s="27">
        <f>Данные!$B$21*Данные!$B$9</f>
        <v>38880</v>
      </c>
      <c r="E24" s="27" t="n">
        <v>1</v>
      </c>
      <c r="F24" s="10">
        <f>D24*E24</f>
        <v>38880</v>
      </c>
    </row>
    <row r="25">
      <c r="A25" s="7" t="inlineStr">
        <is>
          <t>Штат УКПФ</t>
        </is>
      </c>
      <c r="B25" s="8" t="inlineStr">
        <is>
          <t>Приманочные станции 2-го контура — разовая закупка</t>
        </is>
      </c>
      <c r="C25" s="9" t="inlineStr">
        <is>
          <t>—</t>
        </is>
      </c>
      <c r="D25" s="27">
        <f>Данные!$C$21*Данные!$B$9</f>
        <v>73440</v>
      </c>
      <c r="E25" s="27" t="n">
        <v>1</v>
      </c>
      <c r="F25" s="10">
        <f>D25*E25</f>
        <v>73440</v>
      </c>
    </row>
    <row r="26">
      <c r="E26" s="28" t="inlineStr">
        <is>
          <t>Итого блока</t>
        </is>
      </c>
      <c r="F26" s="29">
        <f>SUM(F24:F25)</f>
        <v>112320</v>
      </c>
    </row>
    <row r="27"/>
    <row r="28">
      <c r="A28" s="3" t="inlineStr">
        <is>
          <t>СПРАВОЧНО: ДЕЗИНСЕКЦИЯ — В СРАВНЕНИЕ НЕ ВХОДИТ</t>
        </is>
      </c>
      <c r="B28" s="4" t="n"/>
      <c r="C28" s="4" t="n"/>
      <c r="D28" s="4" t="n"/>
      <c r="E28" s="4" t="n"/>
      <c r="F28" s="4" t="n"/>
    </row>
    <row r="29">
      <c r="A29" s="25" t="inlineStr">
        <is>
          <t>Вариант</t>
        </is>
      </c>
      <c r="B29" s="25" t="inlineStr">
        <is>
          <t>Что входит</t>
        </is>
      </c>
      <c r="C29" s="26" t="inlineStr">
        <is>
          <t>Обходов в месяц</t>
        </is>
      </c>
      <c r="D29" s="26" t="inlineStr">
        <is>
          <t>Цена в месяц, ₸</t>
        </is>
      </c>
      <c r="E29" s="26" t="inlineStr">
        <is>
          <t>Месяцев</t>
        </is>
      </c>
      <c r="F29" s="26" t="inlineStr">
        <is>
          <t>За год, ₸</t>
        </is>
      </c>
    </row>
    <row r="30">
      <c r="A30" s="7" t="inlineStr">
        <is>
          <t>Indigo Solutions</t>
        </is>
      </c>
      <c r="B30" s="8" t="inlineStr">
        <is>
          <t>дезинсекция</t>
        </is>
      </c>
      <c r="C30" s="9" t="inlineStr">
        <is>
          <t>в КП не указана</t>
        </is>
      </c>
      <c r="D30" s="27">
        <f>Данные!$B$51</f>
        <v>100800</v>
      </c>
      <c r="E30" s="27" t="n">
        <v>12</v>
      </c>
      <c r="F30" s="10">
        <f>D30*E30</f>
        <v>1209600</v>
      </c>
    </row>
    <row r="31">
      <c r="E31" s="28" t="inlineStr">
        <is>
          <t>Итого блока</t>
        </is>
      </c>
      <c r="F31" s="29">
        <f>SUM(F30:F30)</f>
        <v>1209600</v>
      </c>
    </row>
    <row r="32"/>
    <row r="33" ht="28" customHeight="1">
      <c r="A33" s="21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:F2"/>
    <mergeCell ref="A33:F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ЗПП</t>
        </is>
      </c>
    </row>
    <row r="2" ht="26" customHeight="1">
      <c r="A2" s="21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22" t="inlineStr">
        <is>
          <t>ЗА ГОД, ₸</t>
        </is>
      </c>
      <c r="B4" s="23" t="inlineStr">
        <is>
          <t>Indigo Solutions</t>
        </is>
      </c>
      <c r="C4" s="23" t="inlineStr">
        <is>
          <t>Pest Hunters</t>
        </is>
      </c>
      <c r="D4" s="23" t="inlineStr">
        <is>
          <t>Штат УКПФ · материалы</t>
        </is>
      </c>
    </row>
    <row r="5">
      <c r="B5" s="24">
        <f>F9</f>
        <v>1514400</v>
      </c>
      <c r="C5" s="24">
        <f>F10</f>
        <v>2160000</v>
      </c>
      <c r="D5" s="24">
        <f>F11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  <c r="E7" s="4" t="n"/>
      <c r="F7" s="4" t="n"/>
    </row>
    <row r="8">
      <c r="A8" s="25" t="inlineStr">
        <is>
          <t>Вариант</t>
        </is>
      </c>
      <c r="B8" s="25" t="inlineStr">
        <is>
          <t>Что входит</t>
        </is>
      </c>
      <c r="C8" s="26" t="inlineStr">
        <is>
          <t>Обходов в месяц</t>
        </is>
      </c>
      <c r="D8" s="26" t="inlineStr">
        <is>
          <t>Цена в месяц, ₸</t>
        </is>
      </c>
      <c r="E8" s="26" t="inlineStr">
        <is>
          <t>Месяцев</t>
        </is>
      </c>
      <c r="F8" s="26" t="inlineStr">
        <is>
          <t>За год, ₸</t>
        </is>
      </c>
    </row>
    <row r="9">
      <c r="A9" s="7" t="inlineStr">
        <is>
          <t>Indigo Solutions</t>
        </is>
      </c>
      <c r="B9" s="8" t="inlineStr">
        <is>
          <t>полная замена оборудования</t>
        </is>
      </c>
      <c r="C9" s="9" t="inlineStr">
        <is>
          <t>в КП не указана</t>
        </is>
      </c>
      <c r="D9" s="27">
        <f>Данные!$B$46</f>
        <v>126200</v>
      </c>
      <c r="E9" s="27" t="n">
        <v>12</v>
      </c>
      <c r="F9" s="11">
        <f>D9*E9</f>
        <v>1514400</v>
      </c>
    </row>
    <row r="10">
      <c r="A10" s="7" t="inlineStr">
        <is>
          <t>Pest Hunters</t>
        </is>
      </c>
      <c r="B10" s="8" t="inlineStr">
        <is>
          <t>договор №88 от 01.01.2026: дератизация и дезинсекция вместе</t>
        </is>
      </c>
      <c r="C10" s="9" t="n">
        <v>3</v>
      </c>
      <c r="D10" s="27">
        <f>Данные!$B$59</f>
        <v>180000</v>
      </c>
      <c r="E10" s="27" t="n">
        <v>12</v>
      </c>
      <c r="F10" s="11">
        <f>D10*E10</f>
        <v>2160000</v>
      </c>
    </row>
    <row r="11">
      <c r="A11" s="7" t="inlineStr">
        <is>
          <t>Штат УКПФ</t>
        </is>
      </c>
      <c r="B11" s="8" t="inlineStr">
        <is>
          <t>нормы расхода по ЗПП не заданы</t>
        </is>
      </c>
      <c r="C11" s="9" t="n">
        <v>8</v>
      </c>
      <c r="D11" s="27" t="n">
        <v>0</v>
      </c>
      <c r="E11" s="27" t="n">
        <v>0</v>
      </c>
      <c r="F11" s="11">
        <f>D11*E11</f>
        <v>0</v>
      </c>
    </row>
    <row r="12">
      <c r="E12" s="28" t="inlineStr">
        <is>
          <t>Итого блока</t>
        </is>
      </c>
      <c r="F12" s="29">
        <f>SUM(F9:F11)</f>
        <v>3674400</v>
      </c>
    </row>
    <row r="13"/>
    <row r="14">
      <c r="A14" s="3" t="inlineStr">
        <is>
          <t>АЛЬТЕРНАТИВНЫЙ ВАРИАНТ INDIGO</t>
        </is>
      </c>
      <c r="B14" s="4" t="n"/>
      <c r="C14" s="4" t="n"/>
      <c r="D14" s="4" t="n"/>
      <c r="E14" s="4" t="n"/>
      <c r="F14" s="4" t="n"/>
    </row>
    <row r="15">
      <c r="A15" s="25" t="inlineStr">
        <is>
          <t>Вариант</t>
        </is>
      </c>
      <c r="B15" s="25" t="inlineStr">
        <is>
          <t>Что входит</t>
        </is>
      </c>
      <c r="C15" s="26" t="inlineStr">
        <is>
          <t>Обходов в месяц</t>
        </is>
      </c>
      <c r="D15" s="26" t="inlineStr">
        <is>
          <t>Цена в месяц, ₸</t>
        </is>
      </c>
      <c r="E15" s="26" t="inlineStr">
        <is>
          <t>Месяцев</t>
        </is>
      </c>
      <c r="F15" s="26" t="inlineStr">
        <is>
          <t>За год, ₸</t>
        </is>
      </c>
    </row>
    <row r="16">
      <c r="A16" s="7" t="inlineStr">
        <is>
          <t>Indigo Solutions</t>
        </is>
      </c>
      <c r="B16" s="8" t="inlineStr">
        <is>
          <t>частичная замена оборудования</t>
        </is>
      </c>
      <c r="C16" s="9" t="inlineStr">
        <is>
          <t>в КП не указана</t>
        </is>
      </c>
      <c r="D16" s="27">
        <f>Данные!$B$47</f>
        <v>106800</v>
      </c>
      <c r="E16" s="27" t="n">
        <v>12</v>
      </c>
      <c r="F16" s="10">
        <f>D16*E16</f>
        <v>1281600</v>
      </c>
    </row>
    <row r="17">
      <c r="E17" s="28" t="inlineStr">
        <is>
          <t>Итого блока</t>
        </is>
      </c>
      <c r="F17" s="29">
        <f>SUM(F16:F16)</f>
        <v>1281600</v>
      </c>
    </row>
    <row r="18"/>
    <row r="19">
      <c r="A19" s="3" t="inlineStr">
        <is>
          <t>СПРАВОЧНО: ДЕЗИНСЕКЦИЯ — В СРАВНЕНИЕ НЕ ВХОДИТ</t>
        </is>
      </c>
      <c r="B19" s="4" t="n"/>
      <c r="C19" s="4" t="n"/>
      <c r="D19" s="4" t="n"/>
      <c r="E19" s="4" t="n"/>
      <c r="F19" s="4" t="n"/>
    </row>
    <row r="20">
      <c r="A20" s="25" t="inlineStr">
        <is>
          <t>Вариант</t>
        </is>
      </c>
      <c r="B20" s="25" t="inlineStr">
        <is>
          <t>Что входит</t>
        </is>
      </c>
      <c r="C20" s="26" t="inlineStr">
        <is>
          <t>Обходов в месяц</t>
        </is>
      </c>
      <c r="D20" s="26" t="inlineStr">
        <is>
          <t>Цена в месяц, ₸</t>
        </is>
      </c>
      <c r="E20" s="26" t="inlineStr">
        <is>
          <t>Месяцев</t>
        </is>
      </c>
      <c r="F20" s="26" t="inlineStr">
        <is>
          <t>За год, ₸</t>
        </is>
      </c>
    </row>
    <row r="21">
      <c r="A21" s="7" t="inlineStr">
        <is>
          <t>Indigo Solutions</t>
        </is>
      </c>
      <c r="B21" s="8" t="inlineStr">
        <is>
          <t>дезинсекция</t>
        </is>
      </c>
      <c r="C21" s="9" t="inlineStr">
        <is>
          <t>в КП не указана</t>
        </is>
      </c>
      <c r="D21" s="27">
        <f>Данные!$B$52</f>
        <v>160800</v>
      </c>
      <c r="E21" s="27" t="n">
        <v>12</v>
      </c>
      <c r="F21" s="10">
        <f>D21*E21</f>
        <v>1929600</v>
      </c>
    </row>
    <row r="22">
      <c r="E22" s="28" t="inlineStr">
        <is>
          <t>Итого блока</t>
        </is>
      </c>
      <c r="F22" s="29">
        <f>SUM(F21:F21)</f>
        <v>1929600</v>
      </c>
    </row>
    <row r="23"/>
    <row r="24" ht="28" customHeight="1">
      <c r="A24" s="21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5" ht="28" customHeight="1">
      <c r="A25" s="21" t="inlineStr">
        <is>
          <t>По штату УКПФ нормы расхода на ЗПП не заданы, поэтому в расчёте ноль.</t>
        </is>
      </c>
    </row>
  </sheetData>
  <mergeCells count="3">
    <mergeCell ref="A24:F24"/>
    <mergeCell ref="A2:F2"/>
    <mergeCell ref="A25:F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Склад ТМЦ</t>
        </is>
      </c>
    </row>
    <row r="2" ht="26" customHeight="1">
      <c r="A2" s="21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22" t="inlineStr">
        <is>
          <t>ЗА ГОД, ₸</t>
        </is>
      </c>
      <c r="B4" s="23" t="inlineStr">
        <is>
          <t>Indigo Solutions</t>
        </is>
      </c>
      <c r="C4" s="23" t="inlineStr">
        <is>
          <t>Pest Hunters</t>
        </is>
      </c>
      <c r="D4" s="23" t="inlineStr">
        <is>
          <t>Штат УКПФ · материалы</t>
        </is>
      </c>
    </row>
    <row r="5">
      <c r="B5" s="24">
        <f>F9</f>
        <v>0</v>
      </c>
      <c r="C5" s="24">
        <f>F10</f>
        <v>720000</v>
      </c>
      <c r="D5" s="24">
        <f>F11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  <c r="E7" s="4" t="n"/>
      <c r="F7" s="4" t="n"/>
    </row>
    <row r="8">
      <c r="A8" s="25" t="inlineStr">
        <is>
          <t>Вариант</t>
        </is>
      </c>
      <c r="B8" s="25" t="inlineStr">
        <is>
          <t>Что входит</t>
        </is>
      </c>
      <c r="C8" s="26" t="inlineStr">
        <is>
          <t>Обходов в месяц</t>
        </is>
      </c>
      <c r="D8" s="26" t="inlineStr">
        <is>
          <t>Цена в месяц, ₸</t>
        </is>
      </c>
      <c r="E8" s="26" t="inlineStr">
        <is>
          <t>Месяцев</t>
        </is>
      </c>
      <c r="F8" s="26" t="inlineStr">
        <is>
          <t>За год, ₸</t>
        </is>
      </c>
    </row>
    <row r="9">
      <c r="A9" s="7" t="inlineStr">
        <is>
          <t>Indigo Solutions</t>
        </is>
      </c>
      <c r="B9" s="8" t="inlineStr">
        <is>
          <t>нет в КП</t>
        </is>
      </c>
      <c r="C9" s="9" t="inlineStr">
        <is>
          <t>—</t>
        </is>
      </c>
      <c r="D9" s="27" t="n">
        <v>0</v>
      </c>
      <c r="E9" s="27" t="n">
        <v>0</v>
      </c>
      <c r="F9" s="11">
        <f>D9*E9</f>
        <v>0</v>
      </c>
    </row>
    <row r="10">
      <c r="A10" s="7" t="inlineStr">
        <is>
          <t>Pest Hunters</t>
        </is>
      </c>
      <c r="B10" s="8" t="inlineStr">
        <is>
          <t>договор №921: дератизация и дезинсекция, выезд по рекламации за 2 рабочих дня</t>
        </is>
      </c>
      <c r="C10" s="9" t="n">
        <v>1</v>
      </c>
      <c r="D10" s="27">
        <f>Данные!$B$60</f>
        <v>80000</v>
      </c>
      <c r="E10" s="27">
        <f>Данные!$B$63</f>
        <v>9</v>
      </c>
      <c r="F10" s="11">
        <f>D10*E10</f>
        <v>720000</v>
      </c>
    </row>
    <row r="11">
      <c r="A11" s="7" t="inlineStr">
        <is>
          <t>Штат УКПФ</t>
        </is>
      </c>
      <c r="B11" s="8" t="inlineStr">
        <is>
          <t>нормы расхода по складу не заданы</t>
        </is>
      </c>
      <c r="C11" s="9" t="n">
        <v>8</v>
      </c>
      <c r="D11" s="27" t="n">
        <v>0</v>
      </c>
      <c r="E11" s="27" t="n">
        <v>0</v>
      </c>
      <c r="F11" s="11">
        <f>D11*E11</f>
        <v>0</v>
      </c>
    </row>
    <row r="12">
      <c r="E12" s="28" t="inlineStr">
        <is>
          <t>Итого блока</t>
        </is>
      </c>
      <c r="F12" s="29">
        <f>SUM(F9:F11)</f>
        <v>720000</v>
      </c>
    </row>
    <row r="13"/>
    <row r="14" ht="28" customHeight="1">
      <c r="A14" s="21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2:F2"/>
    <mergeCell ref="A14:F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АБК</t>
        </is>
      </c>
    </row>
    <row r="2" ht="26" customHeight="1">
      <c r="A2" s="21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22" t="inlineStr">
        <is>
          <t>ЗА ГОД, ₸</t>
        </is>
      </c>
      <c r="B4" s="23" t="inlineStr">
        <is>
          <t>Indigo Solutions</t>
        </is>
      </c>
      <c r="C4" s="23" t="inlineStr">
        <is>
          <t>Pest Hunters</t>
        </is>
      </c>
      <c r="D4" s="23" t="inlineStr">
        <is>
          <t>Штат УКПФ · материалы</t>
        </is>
      </c>
    </row>
    <row r="5">
      <c r="B5" s="24">
        <f>F9</f>
        <v>0</v>
      </c>
      <c r="C5" s="24">
        <f>F10</f>
        <v>0</v>
      </c>
      <c r="D5" s="24">
        <f>F11+F12+F13+F14</f>
        <v>204506.75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  <c r="E7" s="4" t="n"/>
      <c r="F7" s="4" t="n"/>
    </row>
    <row r="8">
      <c r="A8" s="25" t="inlineStr">
        <is>
          <t>Вариант</t>
        </is>
      </c>
      <c r="B8" s="25" t="inlineStr">
        <is>
          <t>Что входит</t>
        </is>
      </c>
      <c r="C8" s="26" t="inlineStr">
        <is>
          <t>Обходов в месяц</t>
        </is>
      </c>
      <c r="D8" s="26" t="inlineStr">
        <is>
          <t>Цена в месяц, ₸</t>
        </is>
      </c>
      <c r="E8" s="26" t="inlineStr">
        <is>
          <t>Месяцев</t>
        </is>
      </c>
      <c r="F8" s="26" t="inlineStr">
        <is>
          <t>За год, ₸</t>
        </is>
      </c>
    </row>
    <row r="9">
      <c r="A9" s="7" t="inlineStr">
        <is>
          <t>Indigo Solutions</t>
        </is>
      </c>
      <c r="B9" s="8" t="inlineStr">
        <is>
          <t>нет в КП</t>
        </is>
      </c>
      <c r="C9" s="9" t="inlineStr">
        <is>
          <t>—</t>
        </is>
      </c>
      <c r="D9" s="27" t="n">
        <v>0</v>
      </c>
      <c r="E9" s="27" t="n">
        <v>0</v>
      </c>
      <c r="F9" s="11">
        <f>D9*E9</f>
        <v>0</v>
      </c>
    </row>
    <row r="10">
      <c r="A10" s="7" t="inlineStr">
        <is>
          <t>Pest Hunters</t>
        </is>
      </c>
      <c r="B10" s="8" t="inlineStr">
        <is>
          <t>нет в КП</t>
        </is>
      </c>
      <c r="C10" s="9" t="inlineStr">
        <is>
          <t>—</t>
        </is>
      </c>
      <c r="D10" s="27" t="n">
        <v>0</v>
      </c>
      <c r="E10" s="27" t="n">
        <v>0</v>
      </c>
      <c r="F10" s="11">
        <f>D10*E10</f>
        <v>0</v>
      </c>
    </row>
    <row r="11">
      <c r="A11" s="7" t="inlineStr">
        <is>
          <t>Штат УКПФ</t>
        </is>
      </c>
      <c r="B11" s="8" t="inlineStr">
        <is>
          <t>Клеевые станции 3-го контура, тёплый сезон</t>
        </is>
      </c>
      <c r="C11" s="9" t="n">
        <v>8</v>
      </c>
      <c r="D11" s="27">
        <f>Данные!$D$22*Данные!$B$8</f>
        <v>10080</v>
      </c>
      <c r="E11" s="27">
        <f>Данные!$B$15</f>
        <v>7</v>
      </c>
      <c r="F11" s="11">
        <f>D11*E11</f>
        <v>70560</v>
      </c>
    </row>
    <row r="12">
      <c r="A12" s="7" t="inlineStr">
        <is>
          <t>Штат УКПФ</t>
        </is>
      </c>
      <c r="B12" s="8" t="inlineStr">
        <is>
          <t>Клеевые станции 3-го контура, зимний сезон — объём вдвое</t>
        </is>
      </c>
      <c r="C12" s="9" t="n">
        <v>8</v>
      </c>
      <c r="D12" s="27">
        <f>Данные!$D$22*2*Данные!$B$8</f>
        <v>20160</v>
      </c>
      <c r="E12" s="27">
        <f>Данные!$B$16</f>
        <v>5</v>
      </c>
      <c r="F12" s="11">
        <f>D12*E12</f>
        <v>100800</v>
      </c>
    </row>
    <row r="13">
      <c r="A13" s="7" t="inlineStr">
        <is>
          <t>Штат УКПФ</t>
        </is>
      </c>
      <c r="B13" s="8" t="inlineStr">
        <is>
          <t>Зерноцид, 2-й контур</t>
        </is>
      </c>
      <c r="C13" s="9" t="n">
        <v>8</v>
      </c>
      <c r="D13" s="27">
        <f>Данные!$G$22*Данные!$B$6</f>
        <v>0</v>
      </c>
      <c r="E13" s="27">
        <f>Данные!$B$15</f>
        <v>7</v>
      </c>
      <c r="F13" s="11">
        <f>D13*E13</f>
        <v>0</v>
      </c>
    </row>
    <row r="14">
      <c r="A14" s="7" t="inlineStr">
        <is>
          <t>Штат УКПФ</t>
        </is>
      </c>
      <c r="B14" s="8" t="inlineStr">
        <is>
          <t>Pest Killer, брикеты</t>
        </is>
      </c>
      <c r="C14" s="9" t="n">
        <v>8</v>
      </c>
      <c r="D14" s="27">
        <f>Данные!$F$22*Данные!$B$7</f>
        <v>4735.25</v>
      </c>
      <c r="E14" s="27">
        <f>Данные!$B$15</f>
        <v>7</v>
      </c>
      <c r="F14" s="11">
        <f>D14*E14</f>
        <v>33146.75</v>
      </c>
    </row>
    <row r="15">
      <c r="E15" s="28" t="inlineStr">
        <is>
          <t>Итого блока</t>
        </is>
      </c>
      <c r="F15" s="29">
        <f>SUM(F9:F14)</f>
        <v>204506.75</v>
      </c>
    </row>
    <row r="16"/>
    <row r="17">
      <c r="A17" s="3" t="inlineStr">
        <is>
          <t>РАЗОВЫЕ ЗАТРАТЫ ШТАТА (СПРАВОЧНО)</t>
        </is>
      </c>
      <c r="B17" s="4" t="n"/>
      <c r="C17" s="4" t="n"/>
      <c r="D17" s="4" t="n"/>
      <c r="E17" s="4" t="n"/>
      <c r="F17" s="4" t="n"/>
    </row>
    <row r="18">
      <c r="A18" s="25" t="inlineStr">
        <is>
          <t>Вариант</t>
        </is>
      </c>
      <c r="B18" s="25" t="inlineStr">
        <is>
          <t>Что входит</t>
        </is>
      </c>
      <c r="C18" s="26" t="inlineStr">
        <is>
          <t>Обходов в месяц</t>
        </is>
      </c>
      <c r="D18" s="26" t="inlineStr">
        <is>
          <t>Цена в месяц, ₸</t>
        </is>
      </c>
      <c r="E18" s="26" t="inlineStr">
        <is>
          <t>Месяцев</t>
        </is>
      </c>
      <c r="F18" s="26" t="inlineStr">
        <is>
          <t>За год, ₸</t>
        </is>
      </c>
    </row>
    <row r="19">
      <c r="A19" s="7" t="inlineStr">
        <is>
          <t>Штат УКПФ</t>
        </is>
      </c>
      <c r="B19" s="8" t="inlineStr">
        <is>
          <t>Приманочные станции 1-го контура — разовая закупка</t>
        </is>
      </c>
      <c r="C19" s="9" t="inlineStr">
        <is>
          <t>—</t>
        </is>
      </c>
      <c r="D19" s="27">
        <f>Данные!$B$22*Данные!$B$9</f>
        <v>0</v>
      </c>
      <c r="E19" s="27" t="n">
        <v>1</v>
      </c>
      <c r="F19" s="10">
        <f>D19*E19</f>
        <v>0</v>
      </c>
    </row>
    <row r="20">
      <c r="A20" s="7" t="inlineStr">
        <is>
          <t>Штат УКПФ</t>
        </is>
      </c>
      <c r="B20" s="8" t="inlineStr">
        <is>
          <t>Приманочные станции 2-го контура — разовая закупка</t>
        </is>
      </c>
      <c r="C20" s="9" t="inlineStr">
        <is>
          <t>—</t>
        </is>
      </c>
      <c r="D20" s="27">
        <f>Данные!$C$22*Данные!$B$9</f>
        <v>84240</v>
      </c>
      <c r="E20" s="27" t="n">
        <v>1</v>
      </c>
      <c r="F20" s="10">
        <f>D20*E20</f>
        <v>84240</v>
      </c>
    </row>
    <row r="21">
      <c r="E21" s="28" t="inlineStr">
        <is>
          <t>Итого блока</t>
        </is>
      </c>
      <c r="F21" s="29">
        <f>SUM(F19:F20)</f>
        <v>84240</v>
      </c>
    </row>
    <row r="22"/>
    <row r="23" ht="28" customHeight="1">
      <c r="A23" s="21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24" ht="28" customHeight="1">
      <c r="A24" s="21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24:F24"/>
    <mergeCell ref="A2:F2"/>
    <mergeCell ref="A23:F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3" t="inlineStr">
        <is>
          <t>ФОНД ОПЛАТЫ ТРУДА</t>
        </is>
      </c>
      <c r="B4" s="4" t="n"/>
      <c r="C4" s="4" t="n"/>
      <c r="D4" s="4" t="n"/>
      <c r="E4" s="4" t="n"/>
    </row>
    <row r="5">
      <c r="A5" s="13" t="inlineStr">
        <is>
          <t>Показатель, ₸</t>
        </is>
      </c>
      <c r="B5" s="13" t="inlineStr">
        <is>
          <t>Оклад 258 488 ₸</t>
        </is>
      </c>
      <c r="C5" s="13" t="inlineStr">
        <is>
          <t>Оклад 350 000 ₸</t>
        </is>
      </c>
    </row>
    <row r="6">
      <c r="A6" s="7" t="inlineStr">
        <is>
          <t>Оклад одного дератизатора, ₸/мес</t>
        </is>
      </c>
      <c r="B6" s="10">
        <f>Данные!$B$12</f>
        <v>258488</v>
      </c>
      <c r="C6" s="10">
        <f>Данные!$B$13</f>
        <v>350000</v>
      </c>
    </row>
    <row r="7">
      <c r="A7" s="7" t="inlineStr">
        <is>
          <t>Численность, чел.</t>
        </is>
      </c>
      <c r="B7" s="10">
        <f>Данные!$B$14</f>
        <v>4</v>
      </c>
      <c r="C7" s="10">
        <f>Данные!$B$14</f>
        <v>4</v>
      </c>
    </row>
    <row r="8">
      <c r="A8" s="7" t="inlineStr">
        <is>
          <t>Зарплата в месяц</t>
        </is>
      </c>
      <c r="B8" s="10">
        <f>B6*B7</f>
        <v>1033952</v>
      </c>
      <c r="C8" s="10">
        <f>C6*C7</f>
        <v>1400000</v>
      </c>
    </row>
    <row r="9">
      <c r="A9" s="30" t="inlineStr">
        <is>
          <t>Зарплата за год</t>
        </is>
      </c>
      <c r="B9" s="11">
        <f>B8*12</f>
        <v>12407424</v>
      </c>
      <c r="C9" s="11">
        <f>C8*12</f>
        <v>16800000</v>
      </c>
    </row>
    <row r="10"/>
    <row r="11">
      <c r="A11" s="3" t="inlineStr">
        <is>
          <t>МАТЕРИАЛЫ ПО ОБЪЕКТАМ — СТАНЦИИ, ЗЕРНОЦИД И БРИКЕТЫ РАЗДЕЛЬНО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5" t="inlineStr">
        <is>
          <t>Объект</t>
        </is>
      </c>
      <c r="B12" s="6" t="inlineStr">
        <is>
          <t>Клеевых 3-го к., шт/мес лето</t>
        </is>
      </c>
      <c r="C12" s="6" t="inlineStr">
        <is>
          <t>Клеевых 3-го к., шт/мес зима</t>
        </is>
      </c>
      <c r="D12" s="6" t="inlineStr">
        <is>
          <t>Клеевые за год, ₸</t>
        </is>
      </c>
      <c r="E12" s="6" t="inlineStr">
        <is>
          <t>Зерноцид, кг/мес</t>
        </is>
      </c>
      <c r="F12" s="6" t="inlineStr">
        <is>
          <t>Зерноцид за год, ₸</t>
        </is>
      </c>
      <c r="G12" s="6" t="inlineStr">
        <is>
          <t>Pest Killer, кг/мес</t>
        </is>
      </c>
      <c r="H12" s="6" t="inlineStr">
        <is>
          <t>Pest Killer за год, ₸</t>
        </is>
      </c>
      <c r="I12" s="6" t="inlineStr">
        <is>
          <t>Материалы за год, ₸</t>
        </is>
      </c>
    </row>
    <row r="13">
      <c r="A13" s="7" t="inlineStr">
        <is>
          <t>ККЗ · кормоцех</t>
        </is>
      </c>
      <c r="B13" s="31">
        <f>Данные!$D$20</f>
        <v>0</v>
      </c>
      <c r="C13" s="31">
        <f>Данные!$D$20*2</f>
        <v>0</v>
      </c>
      <c r="D13" s="10">
        <f>B13*Данные!$B$8*Данные!$B$15+C13*Данные!$B$8*Данные!$B$16</f>
        <v>0</v>
      </c>
      <c r="E13" s="40">
        <f>Данные!$G$20</f>
        <v>0</v>
      </c>
      <c r="F13" s="10">
        <f>E13*Данные!$B$6*Данные!$B$15</f>
        <v>0</v>
      </c>
      <c r="G13" s="40">
        <f>Данные!$F$20</f>
        <v>1</v>
      </c>
      <c r="H13" s="10">
        <f>G13*Данные!$B$7*Данные!$B$15</f>
        <v>25497.5</v>
      </c>
      <c r="I13" s="11">
        <f>D13+F13+H13</f>
        <v>25497.5</v>
      </c>
    </row>
    <row r="14">
      <c r="A14" s="7" t="inlineStr">
        <is>
          <t>Бройлерные площадки · 8 шт</t>
        </is>
      </c>
      <c r="B14" s="31">
        <f>SUM(Данные!$D$23:$D$30)</f>
        <v>268</v>
      </c>
      <c r="C14" s="31">
        <f>SUM(Данные!$D$23:$D$30)*2</f>
        <v>536</v>
      </c>
      <c r="D14" s="10">
        <f>B14*Данные!$B$8*Данные!$B$15+C14*Данные!$B$8*Данные!$B$16</f>
        <v>728960</v>
      </c>
      <c r="E14" s="40">
        <f>SUM(Данные!$G$23:$G$30)</f>
        <v>15</v>
      </c>
      <c r="F14" s="10">
        <f>E14*Данные!$B$6*Данные!$B$15</f>
        <v>77700</v>
      </c>
      <c r="G14" s="40">
        <f>SUM(Данные!$F$23:$F$30)</f>
        <v>17</v>
      </c>
      <c r="H14" s="10">
        <f>G14*Данные!$B$7*Данные!$B$15</f>
        <v>433457.5</v>
      </c>
      <c r="I14" s="11">
        <f>D14+F14+H14</f>
        <v>1240117.5</v>
      </c>
    </row>
    <row r="15">
      <c r="A15" s="7" t="inlineStr">
        <is>
          <t>Инкубаторий</t>
        </is>
      </c>
      <c r="B15" s="31">
        <f>Данные!$D$21</f>
        <v>12</v>
      </c>
      <c r="C15" s="31">
        <f>Данные!$D$21*2</f>
        <v>24</v>
      </c>
      <c r="D15" s="10">
        <f>B15*Данные!$B$8*Данные!$B$15+C15*Данные!$B$8*Данные!$B$16</f>
        <v>32640</v>
      </c>
      <c r="E15" s="40">
        <f>Данные!$G$21</f>
        <v>1</v>
      </c>
      <c r="F15" s="10">
        <f>E15*Данные!$B$6*Данные!$B$15</f>
        <v>5180</v>
      </c>
      <c r="G15" s="40">
        <f>Данные!$F$21</f>
        <v>1</v>
      </c>
      <c r="H15" s="10">
        <f>G15*Данные!$B$7*Данные!$B$15</f>
        <v>25497.5</v>
      </c>
      <c r="I15" s="11">
        <f>D15+F15+H15</f>
        <v>63317.5</v>
      </c>
    </row>
    <row r="16">
      <c r="A16" s="7" t="inlineStr">
        <is>
          <t>АБК · 11 корпусов</t>
        </is>
      </c>
      <c r="B16" s="31">
        <f>Данные!$D$22</f>
        <v>63</v>
      </c>
      <c r="C16" s="31">
        <f>Данные!$D$22*2</f>
        <v>126</v>
      </c>
      <c r="D16" s="10">
        <f>B16*Данные!$B$8*Данные!$B$15+C16*Данные!$B$8*Данные!$B$16</f>
        <v>171360</v>
      </c>
      <c r="E16" s="40">
        <f>Данные!$G$22</f>
        <v>0</v>
      </c>
      <c r="F16" s="10">
        <f>E16*Данные!$B$6*Данные!$B$15</f>
        <v>0</v>
      </c>
      <c r="G16" s="40">
        <f>Данные!$F$22</f>
        <v>1.3</v>
      </c>
      <c r="H16" s="10">
        <f>G16*Данные!$B$7*Данные!$B$15</f>
        <v>33146.75</v>
      </c>
      <c r="I16" s="11">
        <f>D16+F16+H16</f>
        <v>204506.75</v>
      </c>
    </row>
    <row r="17">
      <c r="A17" s="7" t="inlineStr">
        <is>
          <t>Бутылки (по объектам не разносятся)</t>
        </is>
      </c>
      <c r="B17" s="14" t="n"/>
      <c r="C17" s="14" t="n"/>
      <c r="D17" s="14" t="n"/>
      <c r="E17" s="14" t="n"/>
      <c r="F17" s="14" t="n"/>
      <c r="G17" s="14" t="n"/>
      <c r="H17" s="14" t="n"/>
      <c r="I17" s="11">
        <f>Данные!$B$11*Данные!$B$10*Данные!$B$15</f>
        <v>19040</v>
      </c>
    </row>
    <row r="18">
      <c r="A18" s="33" t="inlineStr">
        <is>
          <t>МАТЕРИАЛЫ ЗА ГОД, ИТОГО</t>
        </is>
      </c>
      <c r="B18" s="16" t="n"/>
      <c r="C18" s="16" t="n"/>
      <c r="D18" s="29">
        <f>SUM(D13:D17)</f>
        <v>932960</v>
      </c>
      <c r="E18" s="41">
        <f>SUM(E13:E17)</f>
        <v>16</v>
      </c>
      <c r="F18" s="29">
        <f>SUM(F13:F17)</f>
        <v>82880</v>
      </c>
      <c r="G18" s="41">
        <f>SUM(G13:G17)</f>
        <v>20.3</v>
      </c>
      <c r="H18" s="29">
        <f>SUM(H13:H17)</f>
        <v>517599.25</v>
      </c>
      <c r="I18" s="29">
        <f>SUM(I13:I17)</f>
        <v>1552479.25</v>
      </c>
    </row>
    <row r="19"/>
    <row r="20">
      <c r="A20" s="3" t="inlineStr">
        <is>
          <t>РАЗОВАЯ ЗАКУПКА ПРИМАНОЧНЫХ СТАНЦИЙ</t>
        </is>
      </c>
      <c r="B20" s="4" t="n"/>
      <c r="C20" s="4" t="n"/>
      <c r="D20" s="4" t="n"/>
      <c r="E20" s="4" t="n"/>
      <c r="F20" s="4" t="n"/>
    </row>
    <row r="21">
      <c r="A21" s="25" t="inlineStr">
        <is>
          <t>Объект</t>
        </is>
      </c>
      <c r="B21" s="26" t="inlineStr">
        <is>
          <t>1-й контур, шт</t>
        </is>
      </c>
      <c r="C21" s="26" t="inlineStr">
        <is>
          <t>2-й контур, шт</t>
        </is>
      </c>
      <c r="D21" s="26" t="inlineStr">
        <is>
          <t>Всего, шт</t>
        </is>
      </c>
      <c r="E21" s="26" t="inlineStr">
        <is>
          <t>Цена, ₸/шт</t>
        </is>
      </c>
      <c r="F21" s="26" t="inlineStr">
        <is>
          <t>Разово, ₸</t>
        </is>
      </c>
    </row>
    <row r="22">
      <c r="A22" s="7" t="inlineStr">
        <is>
          <t>ККЗ · кормоцех</t>
        </is>
      </c>
      <c r="B22" s="31">
        <f>Данные!$B$20</f>
        <v>0</v>
      </c>
      <c r="C22" s="31">
        <f>Данные!$C$20</f>
        <v>29</v>
      </c>
      <c r="D22" s="31">
        <f>B22+C22</f>
        <v>29</v>
      </c>
      <c r="E22" s="27">
        <f>Данные!$B$9</f>
        <v>2160</v>
      </c>
      <c r="F22" s="11">
        <f>D22*E22</f>
        <v>62640</v>
      </c>
    </row>
    <row r="23">
      <c r="A23" s="7" t="inlineStr">
        <is>
          <t>Бройлерные площадки · 8 шт</t>
        </is>
      </c>
      <c r="B23" s="31">
        <f>SUM(Данные!$B$23:$B$30)</f>
        <v>161</v>
      </c>
      <c r="C23" s="31">
        <f>SUM(Данные!$C$23:$C$30)</f>
        <v>1096</v>
      </c>
      <c r="D23" s="31">
        <f>B23+C23</f>
        <v>1257</v>
      </c>
      <c r="E23" s="27">
        <f>Данные!$B$9</f>
        <v>2160</v>
      </c>
      <c r="F23" s="11">
        <f>D23*E23</f>
        <v>2715120</v>
      </c>
    </row>
    <row r="24">
      <c r="A24" s="7" t="inlineStr">
        <is>
          <t>Инкубаторий</t>
        </is>
      </c>
      <c r="B24" s="31">
        <f>Данные!$B$21</f>
        <v>18</v>
      </c>
      <c r="C24" s="31">
        <f>Данные!$C$21</f>
        <v>34</v>
      </c>
      <c r="D24" s="31">
        <f>B24+C24</f>
        <v>52</v>
      </c>
      <c r="E24" s="27">
        <f>Данные!$B$9</f>
        <v>2160</v>
      </c>
      <c r="F24" s="11">
        <f>D24*E24</f>
        <v>112320</v>
      </c>
    </row>
    <row r="25">
      <c r="A25" s="7" t="inlineStr">
        <is>
          <t>АБК · 11 корпусов</t>
        </is>
      </c>
      <c r="B25" s="31">
        <f>Данные!$B$22</f>
        <v>0</v>
      </c>
      <c r="C25" s="31">
        <f>Данные!$C$22</f>
        <v>39</v>
      </c>
      <c r="D25" s="31">
        <f>B25+C25</f>
        <v>39</v>
      </c>
      <c r="E25" s="27">
        <f>Данные!$B$9</f>
        <v>2160</v>
      </c>
      <c r="F25" s="11">
        <f>D25*E25</f>
        <v>84240</v>
      </c>
    </row>
    <row r="26">
      <c r="A26" s="33" t="inlineStr">
        <is>
          <t>ИТОГО РАЗОВО</t>
        </is>
      </c>
      <c r="B26" s="35">
        <f>SUM(B22:B25)</f>
        <v>179</v>
      </c>
      <c r="C26" s="35">
        <f>SUM(C22:C25)</f>
        <v>1198</v>
      </c>
      <c r="D26" s="35">
        <f>SUM(D22:D25)</f>
        <v>1377</v>
      </c>
      <c r="E26" s="16" t="n"/>
      <c r="F26" s="29">
        <f>SUM(F22:F25)</f>
        <v>2974320</v>
      </c>
    </row>
    <row r="27"/>
    <row r="28">
      <c r="A28" s="3" t="inlineStr">
        <is>
          <t>ЧИСЛЕННОСТЬ: СКОЛЬКО СТОИТ ШТАТ ПРИ РАЗНОМ ЧИСЛЕ ЛЮДЕЙ</t>
        </is>
      </c>
      <c r="B28" s="4" t="n"/>
      <c r="C28" s="4" t="n"/>
      <c r="D28" s="4" t="n"/>
      <c r="E28" s="4" t="n"/>
      <c r="F28" s="4" t="n"/>
    </row>
    <row r="29">
      <c r="A29" s="5" t="inlineStr">
        <is>
          <t>Численность, чел.</t>
        </is>
      </c>
      <c r="B29" s="6" t="inlineStr">
        <is>
          <t>ЗП в месяц, ₸ · оклад 258 488</t>
        </is>
      </c>
      <c r="C29" s="6" t="inlineStr">
        <is>
          <t>ЗП за год, ₸ · оклад 258 488</t>
        </is>
      </c>
      <c r="D29" s="6" t="inlineStr">
        <is>
          <t>Материалы за год, ₸</t>
        </is>
      </c>
      <c r="E29" s="6" t="inlineStr">
        <is>
          <t>Итого за год, ₸ · оклад 258 488</t>
        </is>
      </c>
      <c r="F29" s="6" t="inlineStr">
        <is>
          <t>Итого за год, ₸ · оклад 350 000</t>
        </is>
      </c>
    </row>
    <row r="30">
      <c r="A30" s="10" t="n">
        <v>2</v>
      </c>
      <c r="B30" s="10">
        <f>A30*Данные!$B$12</f>
        <v>516976</v>
      </c>
      <c r="C30" s="10">
        <f>B30*12</f>
        <v>6203712</v>
      </c>
      <c r="D30" s="10">
        <f>'Штат УКПФ'!$I$18</f>
        <v>1552479.25</v>
      </c>
      <c r="E30" s="11">
        <f>C30+D30</f>
        <v>7756191.25</v>
      </c>
      <c r="F30" s="11">
        <f>A30*Данные!$B$13*12+D30</f>
        <v>9952479.25</v>
      </c>
    </row>
    <row r="31">
      <c r="A31" s="10" t="n">
        <v>3</v>
      </c>
      <c r="B31" s="10">
        <f>A31*Данные!$B$12</f>
        <v>775464</v>
      </c>
      <c r="C31" s="10">
        <f>B31*12</f>
        <v>9305568</v>
      </c>
      <c r="D31" s="10">
        <f>'Штат УКПФ'!$I$18</f>
        <v>1552479.25</v>
      </c>
      <c r="E31" s="11">
        <f>C31+D31</f>
        <v>10858047.25</v>
      </c>
      <c r="F31" s="11">
        <f>A31*Данные!$B$13*12+D31</f>
        <v>14152479.25</v>
      </c>
    </row>
    <row r="32">
      <c r="A32" s="10" t="n">
        <v>4</v>
      </c>
      <c r="B32" s="10">
        <f>A32*Данные!$B$12</f>
        <v>1033952</v>
      </c>
      <c r="C32" s="10">
        <f>B32*12</f>
        <v>12407424</v>
      </c>
      <c r="D32" s="10">
        <f>'Штат УКПФ'!$I$18</f>
        <v>1552479.25</v>
      </c>
      <c r="E32" s="11">
        <f>C32+D32</f>
        <v>13959903.25</v>
      </c>
      <c r="F32" s="11">
        <f>A32*Данные!$B$13*12+D32</f>
        <v>18352479.25</v>
      </c>
    </row>
    <row r="33">
      <c r="A33" s="10" t="n">
        <v>5</v>
      </c>
      <c r="B33" s="10">
        <f>A33*Данные!$B$12</f>
        <v>1292440</v>
      </c>
      <c r="C33" s="10">
        <f>B33*12</f>
        <v>15509280</v>
      </c>
      <c r="D33" s="10">
        <f>'Штат УКПФ'!$I$18</f>
        <v>1552479.25</v>
      </c>
      <c r="E33" s="11">
        <f>C33+D33</f>
        <v>17061759.25</v>
      </c>
      <c r="F33" s="11">
        <f>A33*Данные!$B$13*12+D33</f>
        <v>22552479.25</v>
      </c>
    </row>
    <row r="34">
      <c r="A34" s="10" t="n">
        <v>6</v>
      </c>
      <c r="B34" s="10">
        <f>A34*Данные!$B$12</f>
        <v>1550928</v>
      </c>
      <c r="C34" s="10">
        <f>B34*12</f>
        <v>18611136</v>
      </c>
      <c r="D34" s="10">
        <f>'Штат УКПФ'!$I$18</f>
        <v>1552479.25</v>
      </c>
      <c r="E34" s="11">
        <f>C34+D34</f>
        <v>20163615.25</v>
      </c>
      <c r="F34" s="11">
        <f>A34*Данные!$B$13*12+D34</f>
        <v>26752479.25</v>
      </c>
    </row>
    <row r="35">
      <c r="A35" s="10" t="n">
        <v>7</v>
      </c>
      <c r="B35" s="10">
        <f>A35*Данные!$B$12</f>
        <v>1809416</v>
      </c>
      <c r="C35" s="10">
        <f>B35*12</f>
        <v>21712992</v>
      </c>
      <c r="D35" s="10">
        <f>'Штат УКПФ'!$I$18</f>
        <v>1552479.25</v>
      </c>
      <c r="E35" s="11">
        <f>C35+D35</f>
        <v>23265471.25</v>
      </c>
      <c r="F35" s="11">
        <f>A35*Данные!$B$13*12+D35</f>
        <v>30952479.25</v>
      </c>
    </row>
    <row r="36">
      <c r="A36" s="10" t="n">
        <v>8</v>
      </c>
      <c r="B36" s="10">
        <f>A36*Данные!$B$12</f>
        <v>2067904</v>
      </c>
      <c r="C36" s="10">
        <f>B36*12</f>
        <v>24814848</v>
      </c>
      <c r="D36" s="10">
        <f>'Штат УКПФ'!$I$18</f>
        <v>1552479.25</v>
      </c>
      <c r="E36" s="11">
        <f>C36+D36</f>
        <v>26367327.25</v>
      </c>
      <c r="F36" s="11">
        <f>A36*Данные!$B$13*12+D36</f>
        <v>35152479.25</v>
      </c>
    </row>
    <row r="37">
      <c r="A37" s="10" t="n">
        <v>9</v>
      </c>
      <c r="B37" s="10">
        <f>A37*Данные!$B$12</f>
        <v>2326392</v>
      </c>
      <c r="C37" s="10">
        <f>B37*12</f>
        <v>27916704</v>
      </c>
      <c r="D37" s="10">
        <f>'Штат УКПФ'!$I$18</f>
        <v>1552479.25</v>
      </c>
      <c r="E37" s="11">
        <f>C37+D37</f>
        <v>29469183.25</v>
      </c>
      <c r="F37" s="11">
        <f>A37*Данные!$B$13*12+D37</f>
        <v>39352479.25</v>
      </c>
    </row>
    <row r="38">
      <c r="A38" s="10" t="n">
        <v>10</v>
      </c>
      <c r="B38" s="10">
        <f>A38*Данные!$B$12</f>
        <v>2584880</v>
      </c>
      <c r="C38" s="10">
        <f>B38*12</f>
        <v>31018560</v>
      </c>
      <c r="D38" s="10">
        <f>'Штат УКПФ'!$I$18</f>
        <v>1552479.25</v>
      </c>
      <c r="E38" s="11">
        <f>C38+D38</f>
        <v>32571039.25</v>
      </c>
      <c r="F38" s="11">
        <f>A38*Данные!$B$13*12+D38</f>
        <v>43552479.25</v>
      </c>
    </row>
    <row r="39"/>
    <row r="40" ht="28" customHeight="1">
      <c r="A40" s="21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40:F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3" t="inlineStr">
        <is>
          <t>ЦЕНЫ И ПАРАМЕТРЫ ШТАТА УКПФ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13" t="inlineStr">
        <is>
          <t>Показатель</t>
        </is>
      </c>
      <c r="B5" s="13" t="inlineStr">
        <is>
          <t>Значение</t>
        </is>
      </c>
      <c r="C5" s="13" t="inlineStr">
        <is>
          <t>Ед. изм.</t>
        </is>
      </c>
      <c r="D5" s="13" t="inlineStr"/>
      <c r="E5" s="13" t="inlineStr"/>
      <c r="F5" s="13" t="inlineStr"/>
      <c r="G5" s="13" t="inlineStr"/>
      <c r="H5" s="13" t="inlineStr">
        <is>
          <t>Источник / примечание</t>
        </is>
      </c>
    </row>
    <row r="6">
      <c r="A6" s="7" t="inlineStr">
        <is>
          <t>Зерноцид</t>
        </is>
      </c>
      <c r="B6" s="36" t="n">
        <v>740</v>
      </c>
      <c r="C6" s="7" t="inlineStr">
        <is>
          <t>₸/кг</t>
        </is>
      </c>
      <c r="H6" s="12" t="inlineStr">
        <is>
          <t>внутренние данные УКПФ</t>
        </is>
      </c>
    </row>
    <row r="7">
      <c r="A7" s="7" t="inlineStr">
        <is>
          <t>Pest Killer, брикеты</t>
        </is>
      </c>
      <c r="B7" s="36" t="n">
        <v>3642.5</v>
      </c>
      <c r="C7" s="7" t="inlineStr">
        <is>
          <t>₸/кг</t>
        </is>
      </c>
      <c r="H7" s="12" t="inlineStr">
        <is>
          <t>перенесено из прежнего расчёта по ККЗ; в исходных нормах цены не было</t>
        </is>
      </c>
    </row>
    <row r="8">
      <c r="A8" s="7" t="inlineStr">
        <is>
          <t>Клеевая станция 3-го контура</t>
        </is>
      </c>
      <c r="B8" s="36" t="n">
        <v>160</v>
      </c>
      <c r="C8" s="7" t="inlineStr">
        <is>
          <t>₸/шт</t>
        </is>
      </c>
      <c r="H8" s="12" t="inlineStr">
        <is>
          <t>внутренние данные УКПФ, расходуется ежемесячно</t>
        </is>
      </c>
    </row>
    <row r="9">
      <c r="A9" s="7" t="inlineStr">
        <is>
          <t>Приманочная станция 1–2 контура</t>
        </is>
      </c>
      <c r="B9" s="36" t="n">
        <v>2160</v>
      </c>
      <c r="C9" s="7" t="inlineStr">
        <is>
          <t>₸/шт</t>
        </is>
      </c>
      <c r="H9" s="12" t="inlineStr">
        <is>
          <t>разовая закупка; цена из прежнего расчёта по ККЗ (29 шт = 62 640 ₸)</t>
        </is>
      </c>
    </row>
    <row r="10">
      <c r="A10" s="7" t="inlineStr">
        <is>
          <t>Бутылка</t>
        </is>
      </c>
      <c r="B10" s="36" t="n">
        <v>68</v>
      </c>
      <c r="C10" s="7" t="inlineStr">
        <is>
          <t>₸/шт</t>
        </is>
      </c>
      <c r="H10" s="12" t="inlineStr">
        <is>
          <t>внутренние данные УКПФ</t>
        </is>
      </c>
    </row>
    <row r="11">
      <c r="A11" s="7" t="inlineStr">
        <is>
          <t>Бутылки, расход</t>
        </is>
      </c>
      <c r="B11" s="36" t="n">
        <v>40</v>
      </c>
      <c r="C11" s="7" t="inlineStr">
        <is>
          <t>шт/мес</t>
        </is>
      </c>
      <c r="H11" s="12" t="inlineStr">
        <is>
          <t>тёплый сезон, зимой ноль; оценка, по объектам не разносится</t>
        </is>
      </c>
    </row>
    <row r="12">
      <c r="A12" s="7" t="inlineStr">
        <is>
          <t>Оклад дератизатора · вариант 1</t>
        </is>
      </c>
      <c r="B12" s="36" t="n">
        <v>258488</v>
      </c>
      <c r="C12" s="7" t="inlineStr">
        <is>
          <t>₸/мес</t>
        </is>
      </c>
      <c r="H12" s="12" t="inlineStr">
        <is>
          <t>действующий оклад</t>
        </is>
      </c>
    </row>
    <row r="13">
      <c r="A13" s="7" t="inlineStr">
        <is>
          <t>Оклад дератизатора · вариант 2</t>
        </is>
      </c>
      <c r="B13" s="36" t="n">
        <v>350000</v>
      </c>
      <c r="C13" s="7" t="inlineStr">
        <is>
          <t>₸/мес</t>
        </is>
      </c>
      <c r="H13" s="12" t="inlineStr">
        <is>
          <t>альтернативный уровень для сравнения</t>
        </is>
      </c>
    </row>
    <row r="14">
      <c r="A14" s="7" t="inlineStr">
        <is>
          <t>Численность штата</t>
        </is>
      </c>
      <c r="B14" s="36" t="n">
        <v>4</v>
      </c>
      <c r="C14" s="7" t="inlineStr">
        <is>
          <t>чел.</t>
        </is>
      </c>
      <c r="H14" s="12" t="inlineStr">
        <is>
          <t>измените — пересчитаются все листы</t>
        </is>
      </c>
    </row>
    <row r="15">
      <c r="A15" s="7" t="inlineStr">
        <is>
          <t>Тёплых месяцев (апрель — октябрь)</t>
        </is>
      </c>
      <c r="B15" s="36" t="n">
        <v>7</v>
      </c>
      <c r="C15" s="7" t="inlineStr">
        <is>
          <t>мес.</t>
        </is>
      </c>
      <c r="H15" s="12" t="inlineStr">
        <is>
          <t>заряжаются все три контура</t>
        </is>
      </c>
    </row>
    <row r="16">
      <c r="A16" s="7" t="inlineStr">
        <is>
          <t>Зимних месяцев (ноябрь — март)</t>
        </is>
      </c>
      <c r="B16" s="36" t="n">
        <v>5</v>
      </c>
      <c r="C16" s="7" t="inlineStr">
        <is>
          <t>мес.</t>
        </is>
      </c>
      <c r="H16" s="12" t="inlineStr">
        <is>
          <t>1-й и 2-й контуры не заряжаются, 3-й обслуживается вдвое</t>
        </is>
      </c>
    </row>
    <row r="17"/>
    <row r="18">
      <c r="A18" s="3" t="inlineStr">
        <is>
          <t>ПРИМАНОЧНЫЕ СТАНЦИИ И НОРМЫ ЯДОВ ПО ОБЪЕКТАМ УКПФ</t>
        </is>
      </c>
      <c r="B18" s="4" t="n"/>
      <c r="C18" s="4" t="n"/>
      <c r="D18" s="4" t="n"/>
      <c r="E18" s="4" t="n"/>
      <c r="F18" s="4" t="n"/>
      <c r="G18" s="4" t="n"/>
      <c r="H18" s="4" t="n"/>
    </row>
    <row r="19">
      <c r="A19" s="5" t="inlineStr">
        <is>
          <t>Объект</t>
        </is>
      </c>
      <c r="B19" s="6" t="inlineStr">
        <is>
          <t>1-й контур, шт</t>
        </is>
      </c>
      <c r="C19" s="6" t="inlineStr">
        <is>
          <t>2-й контур, шт</t>
        </is>
      </c>
      <c r="D19" s="6" t="inlineStr">
        <is>
          <t>3-й контур, шт</t>
        </is>
      </c>
      <c r="E19" s="6" t="inlineStr">
        <is>
          <t>Всего точек, шт</t>
        </is>
      </c>
      <c r="F19" s="6" t="inlineStr">
        <is>
          <t>Pest Killer, кг</t>
        </is>
      </c>
      <c r="G19" s="6" t="inlineStr">
        <is>
          <t>Зерноцид, кг</t>
        </is>
      </c>
      <c r="H19" s="6" t="inlineStr">
        <is>
          <t>Примечание</t>
        </is>
      </c>
    </row>
    <row r="20">
      <c r="A20" s="7" t="inlineStr">
        <is>
          <t>ККЗ · кормоцех</t>
        </is>
      </c>
      <c r="B20" s="36" t="n">
        <v>0</v>
      </c>
      <c r="C20" s="36" t="n">
        <v>29</v>
      </c>
      <c r="D20" s="36" t="n">
        <v>0</v>
      </c>
      <c r="E20" s="10">
        <f>SUM(B20:D20)</f>
        <v>0</v>
      </c>
      <c r="F20" s="42" t="n">
        <v>1</v>
      </c>
      <c r="G20" s="42" t="n">
        <v>0</v>
      </c>
      <c r="H20" s="12" t="inlineStr">
        <is>
          <t>29 приманочных станций 2-го контура</t>
        </is>
      </c>
    </row>
    <row r="21">
      <c r="A21" s="7" t="inlineStr">
        <is>
          <t>Инкубаторий</t>
        </is>
      </c>
      <c r="B21" s="36" t="n">
        <v>18</v>
      </c>
      <c r="C21" s="36" t="n">
        <v>34</v>
      </c>
      <c r="D21" s="36" t="n">
        <v>12</v>
      </c>
      <c r="E21" s="10">
        <f>SUM(B21:D21)</f>
        <v>18</v>
      </c>
      <c r="F21" s="42" t="n">
        <v>1</v>
      </c>
      <c r="G21" s="42" t="n">
        <v>1</v>
      </c>
      <c r="H21" s="12" t="inlineStr"/>
    </row>
    <row r="22">
      <c r="A22" s="7" t="inlineStr">
        <is>
          <t>АБК · 11 корпусов</t>
        </is>
      </c>
      <c r="B22" s="36" t="n">
        <v>0</v>
      </c>
      <c r="C22" s="36" t="n">
        <v>39</v>
      </c>
      <c r="D22" s="36" t="n">
        <v>63</v>
      </c>
      <c r="E22" s="10">
        <f>SUM(B22:D22)</f>
        <v>0</v>
      </c>
      <c r="F22" s="42" t="n">
        <v>1.3</v>
      </c>
      <c r="G22" s="42" t="n">
        <v>0</v>
      </c>
      <c r="H22" s="12" t="inlineStr">
        <is>
          <t>1,3 кг — приблизительная оценка, требует подтверждения</t>
        </is>
      </c>
    </row>
    <row r="23">
      <c r="A23" s="7" t="inlineStr">
        <is>
          <t>Площадка А</t>
        </is>
      </c>
      <c r="B23" s="36" t="n">
        <v>13</v>
      </c>
      <c r="C23" s="36" t="n">
        <v>147</v>
      </c>
      <c r="D23" s="36" t="n">
        <v>20</v>
      </c>
      <c r="E23" s="10">
        <f>SUM(B23:D23)</f>
        <v>13</v>
      </c>
      <c r="F23" s="42" t="n">
        <v>2</v>
      </c>
      <c r="G23" s="42" t="n">
        <v>2</v>
      </c>
      <c r="H23" s="12" t="inlineStr"/>
    </row>
    <row r="24">
      <c r="A24" s="7" t="inlineStr">
        <is>
          <t>Площадка Б</t>
        </is>
      </c>
      <c r="B24" s="36" t="n">
        <v>17</v>
      </c>
      <c r="C24" s="36" t="n">
        <v>146</v>
      </c>
      <c r="D24" s="36" t="n">
        <v>20</v>
      </c>
      <c r="E24" s="10">
        <f>SUM(B24:D24)</f>
        <v>17</v>
      </c>
      <c r="F24" s="42" t="n">
        <v>2</v>
      </c>
      <c r="G24" s="42" t="n">
        <v>2</v>
      </c>
      <c r="H24" s="12" t="inlineStr"/>
    </row>
    <row r="25">
      <c r="A25" s="7" t="inlineStr">
        <is>
          <t>В / Восточка</t>
        </is>
      </c>
      <c r="B25" s="36" t="n">
        <v>50</v>
      </c>
      <c r="C25" s="36" t="n">
        <v>239</v>
      </c>
      <c r="D25" s="36" t="n">
        <v>30</v>
      </c>
      <c r="E25" s="10">
        <f>SUM(B25:D25)</f>
        <v>50</v>
      </c>
      <c r="F25" s="42" t="n">
        <v>3.5</v>
      </c>
      <c r="G25" s="42" t="n">
        <v>3</v>
      </c>
      <c r="H25" s="12" t="inlineStr"/>
    </row>
    <row r="26">
      <c r="A26" s="7" t="inlineStr">
        <is>
          <t>Площадка Г</t>
        </is>
      </c>
      <c r="B26" s="36" t="n">
        <v>17</v>
      </c>
      <c r="C26" s="36" t="n">
        <v>88</v>
      </c>
      <c r="D26" s="36" t="n">
        <v>80</v>
      </c>
      <c r="E26" s="10">
        <f>SUM(B26:D26)</f>
        <v>17</v>
      </c>
      <c r="F26" s="42" t="n">
        <v>2</v>
      </c>
      <c r="G26" s="42" t="n">
        <v>1</v>
      </c>
      <c r="H26" s="12" t="inlineStr"/>
    </row>
    <row r="27">
      <c r="A27" s="7" t="inlineStr">
        <is>
          <t>Площадка Д</t>
        </is>
      </c>
      <c r="B27" s="36" t="n">
        <v>15</v>
      </c>
      <c r="C27" s="36" t="n">
        <v>69</v>
      </c>
      <c r="D27" s="36" t="n">
        <v>64</v>
      </c>
      <c r="E27" s="10">
        <f>SUM(B27:D27)</f>
        <v>15</v>
      </c>
      <c r="F27" s="42" t="n">
        <v>1.5</v>
      </c>
      <c r="G27" s="42" t="n">
        <v>1</v>
      </c>
      <c r="H27" s="12" t="inlineStr"/>
    </row>
    <row r="28">
      <c r="A28" s="7" t="inlineStr">
        <is>
          <t>Площадка Е</t>
        </is>
      </c>
      <c r="B28" s="36" t="n">
        <v>13</v>
      </c>
      <c r="C28" s="36" t="n">
        <v>147</v>
      </c>
      <c r="D28" s="36" t="n">
        <v>20</v>
      </c>
      <c r="E28" s="10">
        <f>SUM(B28:D28)</f>
        <v>13</v>
      </c>
      <c r="F28" s="42" t="n">
        <v>2</v>
      </c>
      <c r="G28" s="42" t="n">
        <v>2</v>
      </c>
      <c r="H28" s="12" t="inlineStr"/>
    </row>
    <row r="29">
      <c r="A29" s="7" t="inlineStr">
        <is>
          <t>Площадка Ж</t>
        </is>
      </c>
      <c r="B29" s="36" t="n">
        <v>17</v>
      </c>
      <c r="C29" s="36" t="n">
        <v>73</v>
      </c>
      <c r="D29" s="36" t="n">
        <v>10</v>
      </c>
      <c r="E29" s="10">
        <f>SUM(B29:D29)</f>
        <v>17</v>
      </c>
      <c r="F29" s="42" t="n">
        <v>1</v>
      </c>
      <c r="G29" s="42" t="n">
        <v>1</v>
      </c>
      <c r="H29" s="12" t="inlineStr"/>
    </row>
    <row r="30">
      <c r="A30" s="7" t="inlineStr">
        <is>
          <t>Айыртау (БП)</t>
        </is>
      </c>
      <c r="B30" s="36" t="n">
        <v>19</v>
      </c>
      <c r="C30" s="36" t="n">
        <v>187</v>
      </c>
      <c r="D30" s="36" t="n">
        <v>24</v>
      </c>
      <c r="E30" s="10">
        <f>SUM(B30:D30)</f>
        <v>19</v>
      </c>
      <c r="F30" s="42" t="n">
        <v>3</v>
      </c>
      <c r="G30" s="42" t="n">
        <v>3</v>
      </c>
      <c r="H30" s="12" t="inlineStr"/>
    </row>
    <row r="31">
      <c r="A31" s="7" t="inlineStr">
        <is>
          <t>ЗПП · завод по переработке птицы</t>
        </is>
      </c>
      <c r="B31" s="10" t="n"/>
      <c r="C31" s="10" t="n"/>
      <c r="D31" s="10" t="n"/>
      <c r="E31" s="10" t="n"/>
      <c r="F31" s="40" t="n"/>
      <c r="G31" s="40" t="n"/>
      <c r="H31" s="12" t="inlineStr">
        <is>
          <t>нормы расхода не заданы</t>
        </is>
      </c>
    </row>
    <row r="32">
      <c r="A32" s="7" t="inlineStr">
        <is>
          <t>Склад лузги</t>
        </is>
      </c>
      <c r="B32" s="10" t="n"/>
      <c r="C32" s="10" t="n"/>
      <c r="D32" s="10" t="n"/>
      <c r="E32" s="10" t="n"/>
      <c r="F32" s="40" t="n"/>
      <c r="G32" s="40" t="n"/>
      <c r="H32" s="12" t="inlineStr">
        <is>
          <t>нормы расхода не заданы</t>
        </is>
      </c>
    </row>
    <row r="33">
      <c r="A33" s="33" t="inlineStr">
        <is>
          <t>ИТОГО ПО ФАБРИКЕ</t>
        </is>
      </c>
      <c r="B33" s="29">
        <f>SUM(B20:B32)</f>
        <v>179</v>
      </c>
      <c r="C33" s="29">
        <f>SUM(C20:C32)</f>
        <v>1198</v>
      </c>
      <c r="D33" s="29">
        <f>SUM(D20:D32)</f>
        <v>343</v>
      </c>
      <c r="E33" s="29">
        <f>SUM(E20:E32)</f>
        <v>179</v>
      </c>
      <c r="F33" s="41">
        <f>SUM(F20:F32)</f>
        <v>20.3</v>
      </c>
      <c r="G33" s="41">
        <f>SUM(G20:G32)</f>
        <v>16</v>
      </c>
      <c r="H33" s="16" t="n"/>
    </row>
    <row r="34"/>
    <row r="35">
      <c r="A35" s="3" t="inlineStr">
        <is>
          <t>ЦЕНЫ ПОДРЯДЧИКОВ ИЗ КП И ДОГОВОРОВ</t>
        </is>
      </c>
      <c r="B35" s="4" t="n"/>
      <c r="C35" s="4" t="n"/>
      <c r="D35" s="4" t="n"/>
      <c r="E35" s="4" t="n"/>
      <c r="F35" s="4" t="n"/>
      <c r="G35" s="4" t="n"/>
      <c r="H35" s="4" t="n"/>
    </row>
    <row r="36">
      <c r="A36" s="13" t="inlineStr">
        <is>
          <t>Позиция</t>
        </is>
      </c>
      <c r="B36" s="13" t="inlineStr">
        <is>
          <t>Значение</t>
        </is>
      </c>
      <c r="C36" s="13" t="inlineStr">
        <is>
          <t>Ед. изм.</t>
        </is>
      </c>
      <c r="D36" s="13" t="inlineStr"/>
      <c r="E36" s="13" t="inlineStr"/>
      <c r="F36" s="13" t="inlineStr"/>
      <c r="G36" s="13" t="inlineStr"/>
      <c r="H36" s="13" t="inlineStr">
        <is>
          <t>Источник</t>
        </is>
      </c>
    </row>
    <row r="37">
      <c r="A37" s="7" t="inlineStr">
        <is>
          <t>Indigo · ККЗ, дератизация</t>
        </is>
      </c>
      <c r="B37" s="36" t="n">
        <v>96600</v>
      </c>
      <c r="C37" s="7" t="inlineStr">
        <is>
          <t>₸/мес</t>
        </is>
      </c>
      <c r="H37" s="12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7" t="inlineStr">
        <is>
          <t>Indigo · Айыртау БП, полная замена</t>
        </is>
      </c>
      <c r="B38" s="36" t="n">
        <v>618400</v>
      </c>
      <c r="C38" s="7" t="inlineStr">
        <is>
          <t>₸/мес</t>
        </is>
      </c>
      <c r="H38" s="12" t="inlineStr">
        <is>
          <t>Indigo Solutions, КП от 19.08.2026 (цены включают НДС); 180 ед. оборудования</t>
        </is>
      </c>
    </row>
    <row r="39">
      <c r="A39" s="7" t="inlineStr">
        <is>
          <t>Indigo · Айыртау БП, частичная замена</t>
        </is>
      </c>
      <c r="B39" s="36" t="n">
        <v>478400</v>
      </c>
      <c r="C39" s="7" t="inlineStr">
        <is>
          <t>₸/мес</t>
        </is>
      </c>
      <c r="H39" s="12" t="inlineStr">
        <is>
          <t>Indigo Solutions, КП от 19.08.2026 (цены включают НДС)</t>
        </is>
      </c>
    </row>
    <row r="40">
      <c r="A40" s="7" t="inlineStr">
        <is>
          <t>Indigo · Многоэтажки Д и Г, полная замена</t>
        </is>
      </c>
      <c r="B40" s="36" t="n">
        <v>569800</v>
      </c>
      <c r="C40" s="7" t="inlineStr">
        <is>
          <t>₸/мес</t>
        </is>
      </c>
      <c r="H40" s="12" t="inlineStr">
        <is>
          <t>Indigo Solutions, КП от 19.08.2026 (цены включают НДС); 166 ед. оборудования</t>
        </is>
      </c>
    </row>
    <row r="41">
      <c r="A41" s="7" t="inlineStr">
        <is>
          <t>Indigo · Многоэтажки Д и Г, частичная замена</t>
        </is>
      </c>
      <c r="B41" s="36" t="n">
        <v>440700</v>
      </c>
      <c r="C41" s="7" t="inlineStr">
        <is>
          <t>₸/мес</t>
        </is>
      </c>
      <c r="H41" s="12" t="inlineStr">
        <is>
          <t>Indigo Solutions, КП от 19.08.2026 (цены включают НДС)</t>
        </is>
      </c>
    </row>
    <row r="42">
      <c r="A42" s="7" t="inlineStr">
        <is>
          <t>Indigo · Площадки А,Б,Е,Ж,В,В(РМ), полная</t>
        </is>
      </c>
      <c r="B42" s="36" t="n">
        <v>2599100</v>
      </c>
      <c r="C42" s="7" t="inlineStr">
        <is>
          <t>₸/мес</t>
        </is>
      </c>
      <c r="H42" s="12" t="inlineStr">
        <is>
          <t>Indigo Solutions, КП от 19.08.2026 (цены включают НДС); 793 ед. оборудования</t>
        </is>
      </c>
    </row>
    <row r="43">
      <c r="A43" s="7" t="inlineStr">
        <is>
          <t>Indigo · Площадки А,Б,Е,Ж,В,В(РМ), частичная</t>
        </is>
      </c>
      <c r="B43" s="36" t="n">
        <v>2010300</v>
      </c>
      <c r="C43" s="7" t="inlineStr">
        <is>
          <t>₸/мес</t>
        </is>
      </c>
      <c r="H43" s="12" t="inlineStr">
        <is>
          <t>Indigo Solutions, КП от 19.08.2026 (цены включают НДС)</t>
        </is>
      </c>
    </row>
    <row r="44">
      <c r="A44" s="7" t="inlineStr">
        <is>
          <t>Indigo · Инкубаторий, полная замена</t>
        </is>
      </c>
      <c r="B44" s="36" t="n">
        <v>126200</v>
      </c>
      <c r="C44" s="7" t="inlineStr">
        <is>
          <t>₸/мес</t>
        </is>
      </c>
      <c r="H44" s="12" t="inlineStr">
        <is>
          <t>Indigo Solutions, КП от 19.08.2026 (цены включают НДС); 48 ед. оборудования</t>
        </is>
      </c>
    </row>
    <row r="45">
      <c r="A45" s="7" t="inlineStr">
        <is>
          <t>Indigo · Инкубаторий, частичная замена</t>
        </is>
      </c>
      <c r="B45" s="36" t="n">
        <v>106800</v>
      </c>
      <c r="C45" s="7" t="inlineStr">
        <is>
          <t>₸/мес</t>
        </is>
      </c>
      <c r="H45" s="12" t="inlineStr">
        <is>
          <t>Indigo Solutions, КП от 19.08.2026 (цены включают НДС)</t>
        </is>
      </c>
    </row>
    <row r="46">
      <c r="A46" s="7" t="inlineStr">
        <is>
          <t>Indigo · ЗПП, полная замена</t>
        </is>
      </c>
      <c r="B46" s="36" t="n">
        <v>126200</v>
      </c>
      <c r="C46" s="7" t="inlineStr">
        <is>
          <t>₸/мес</t>
        </is>
      </c>
      <c r="H46" s="12" t="inlineStr">
        <is>
          <t>Indigo Solutions, КП от 19.08.2026 (цены включают НДС)</t>
        </is>
      </c>
    </row>
    <row r="47">
      <c r="A47" s="7" t="inlineStr">
        <is>
          <t>Indigo · ЗПП, частичная замена</t>
        </is>
      </c>
      <c r="B47" s="36" t="n">
        <v>106800</v>
      </c>
      <c r="C47" s="7" t="inlineStr">
        <is>
          <t>₸/мес</t>
        </is>
      </c>
      <c r="H47" s="12" t="inlineStr">
        <is>
          <t>Indigo Solutions, КП от 19.08.2026 (цены включают НДС)</t>
        </is>
      </c>
    </row>
    <row r="48">
      <c r="A48" s="7" t="inlineStr">
        <is>
          <t>Indigo · дезинсекция, Айыртау БП</t>
        </is>
      </c>
      <c r="B48" s="36" t="n">
        <v>720000</v>
      </c>
      <c r="C48" s="7" t="inlineStr">
        <is>
          <t>₸/мес</t>
        </is>
      </c>
      <c r="H48" s="12" t="inlineStr">
        <is>
          <t>Indigo Solutions, КП от 19.08.2026 (цены включают НДС)</t>
        </is>
      </c>
    </row>
    <row r="49">
      <c r="A49" s="7" t="inlineStr">
        <is>
          <t>Indigo · дезинсекция, Многоэтажки</t>
        </is>
      </c>
      <c r="B49" s="36" t="n">
        <v>1080000</v>
      </c>
      <c r="C49" s="7" t="inlineStr">
        <is>
          <t>₸/мес</t>
        </is>
      </c>
      <c r="H49" s="12" t="inlineStr">
        <is>
          <t>Indigo Solutions, КП от 19.08.2026 (цены включают НДС)</t>
        </is>
      </c>
    </row>
    <row r="50">
      <c r="A50" s="7" t="inlineStr">
        <is>
          <t>Indigo · дезинсекция, Площадки</t>
        </is>
      </c>
      <c r="B50" s="36" t="n">
        <v>3000000</v>
      </c>
      <c r="C50" s="7" t="inlineStr">
        <is>
          <t>₸/мес</t>
        </is>
      </c>
      <c r="H50" s="12" t="inlineStr">
        <is>
          <t>Indigo Solutions, КП от 19.08.2026 (цены включают НДС)</t>
        </is>
      </c>
    </row>
    <row r="51">
      <c r="A51" s="7" t="inlineStr">
        <is>
          <t>Indigo · дезинсекция, Инкубаторий</t>
        </is>
      </c>
      <c r="B51" s="36" t="n">
        <v>100800</v>
      </c>
      <c r="C51" s="7" t="inlineStr">
        <is>
          <t>₸/мес</t>
        </is>
      </c>
      <c r="H51" s="12" t="inlineStr">
        <is>
          <t>Indigo Solutions, КП от 19.08.2026 (цены включают НДС)</t>
        </is>
      </c>
    </row>
    <row r="52">
      <c r="A52" s="7" t="inlineStr">
        <is>
          <t>Indigo · дезинсекция, ЗПП</t>
        </is>
      </c>
      <c r="B52" s="36" t="n">
        <v>160800</v>
      </c>
      <c r="C52" s="7" t="inlineStr">
        <is>
          <t>₸/мес</t>
        </is>
      </c>
      <c r="H52" s="12" t="inlineStr">
        <is>
          <t>Indigo Solutions, КП от 19.08.2026 (цены включают НДС)</t>
        </is>
      </c>
    </row>
    <row r="53">
      <c r="A53" s="7" t="inlineStr">
        <is>
          <t>Pest Hunters · ККЗ, дератизация</t>
        </is>
      </c>
      <c r="B53" s="36" t="n">
        <v>75000</v>
      </c>
      <c r="C53" s="7" t="inlineStr">
        <is>
          <t>₸/мес</t>
        </is>
      </c>
      <c r="H53" s="12" t="inlineStr">
        <is>
          <t>Pest Hunters, КП №26/12 на 2026–2027 (без НДС)</t>
        </is>
      </c>
    </row>
    <row r="54">
      <c r="A54" s="7" t="inlineStr">
        <is>
          <t>Pest Hunters · ККЗ, дезинсекция</t>
        </is>
      </c>
      <c r="B54" s="36" t="n">
        <v>70000</v>
      </c>
      <c r="C54" s="7" t="inlineStr">
        <is>
          <t>₸/мес</t>
        </is>
      </c>
      <c r="H54" s="12" t="inlineStr">
        <is>
          <t>Pest Hunters, КП №26/12 на 2026–2027 (без НДС)</t>
        </is>
      </c>
    </row>
    <row r="55">
      <c r="A55" s="7" t="inlineStr">
        <is>
          <t>Pest Hunters · площадки, март — ноябрь</t>
        </is>
      </c>
      <c r="B55" s="36" t="n">
        <v>3172000</v>
      </c>
      <c r="C55" s="7" t="inlineStr">
        <is>
          <t>₸/мес</t>
        </is>
      </c>
      <c r="H55" s="12" t="inlineStr">
        <is>
          <t>Pest Hunters, КП №26/12 на 2026–2027 (без НДС); 122 объекта, оборудование подрядчика</t>
        </is>
      </c>
    </row>
    <row r="56">
      <c r="A56" s="7" t="inlineStr">
        <is>
          <t>Pest Hunters · площадки, декабрь — февраль</t>
        </is>
      </c>
      <c r="B56" s="36" t="n">
        <v>2074000</v>
      </c>
      <c r="C56" s="7" t="inlineStr">
        <is>
          <t>₸/мес</t>
        </is>
      </c>
      <c r="H56" s="12" t="inlineStr">
        <is>
          <t>Pest Hunters, КП №26/12 на 2026–2027 (без НДС); 122 объекта, оборудование подрядчика</t>
        </is>
      </c>
    </row>
    <row r="57">
      <c r="A57" s="7" t="inlineStr">
        <is>
          <t>Pest Hunters · площадки альт., март — ноябрь</t>
        </is>
      </c>
      <c r="B57" s="36" t="n">
        <v>2806000</v>
      </c>
      <c r="C57" s="7" t="inlineStr">
        <is>
          <t>₸/мес</t>
        </is>
      </c>
      <c r="H57" s="12" t="inlineStr">
        <is>
          <t>Pest Hunters, КП №26/12 на 2026–2027 (без НДС); оборудование заказчика</t>
        </is>
      </c>
    </row>
    <row r="58">
      <c r="A58" s="7" t="inlineStr">
        <is>
          <t>Pest Hunters · площадки альт., дек. — февраль</t>
        </is>
      </c>
      <c r="B58" s="36" t="n">
        <v>1830000</v>
      </c>
      <c r="C58" s="7" t="inlineStr">
        <is>
          <t>₸/мес</t>
        </is>
      </c>
      <c r="H58" s="12" t="inlineStr">
        <is>
          <t>Pest Hunters, КП №26/12 на 2026–2027 (без НДС); оборудование заказчика</t>
        </is>
      </c>
    </row>
    <row r="59">
      <c r="A59" s="7" t="inlineStr">
        <is>
          <t>Pest Hunters · ЗПП</t>
        </is>
      </c>
      <c r="B59" s="36" t="n">
        <v>180000</v>
      </c>
      <c r="C59" s="7" t="inlineStr">
        <is>
          <t>₸/мес</t>
        </is>
      </c>
      <c r="H59" s="12" t="inlineStr">
        <is>
          <t>договор №88 от 01.01.2026; дератизация + дезинсекция, 8 309 м², 3 обхода в месяц</t>
        </is>
      </c>
    </row>
    <row r="60">
      <c r="A60" s="7" t="inlineStr">
        <is>
          <t>Pest Hunters · склад ТМЦ</t>
        </is>
      </c>
      <c r="B60" s="36" t="n">
        <v>80000</v>
      </c>
      <c r="C60" s="7" t="inlineStr">
        <is>
          <t>₸/мес</t>
        </is>
      </c>
      <c r="H60" s="12" t="inlineStr">
        <is>
          <t>договор №921 от 01.04.2026; дератизация + дезинсекция, 1 обход в месяц</t>
        </is>
      </c>
    </row>
    <row r="61">
      <c r="A61" s="7" t="inlineStr">
        <is>
          <t>Месяцев высокого тарифа площадок (мар — ноя)</t>
        </is>
      </c>
      <c r="B61" s="36" t="n">
        <v>9</v>
      </c>
      <c r="C61" s="7" t="inlineStr">
        <is>
          <t>мес.</t>
        </is>
      </c>
      <c r="H61" s="12" t="inlineStr">
        <is>
          <t>Pest Hunters, КП №26/12 на 2026–2027 (без НДС)</t>
        </is>
      </c>
    </row>
    <row r="62">
      <c r="A62" s="7" t="inlineStr">
        <is>
          <t>Месяцев низкого тарифа площадок (дек — фев)</t>
        </is>
      </c>
      <c r="B62" s="36" t="n">
        <v>3</v>
      </c>
      <c r="C62" s="7" t="inlineStr">
        <is>
          <t>мес.</t>
        </is>
      </c>
      <c r="H62" s="12" t="inlineStr">
        <is>
          <t>Pest Hunters, КП №26/12 на 2026–2027 (без НДС)</t>
        </is>
      </c>
    </row>
    <row r="63">
      <c r="A63" s="7" t="inlineStr">
        <is>
          <t>Месяцев действия договора по складу ТМЦ</t>
        </is>
      </c>
      <c r="B63" s="36" t="n">
        <v>9</v>
      </c>
      <c r="C63" s="7" t="inlineStr">
        <is>
          <t>мес.</t>
        </is>
      </c>
      <c r="H63" s="12" t="inlineStr">
        <is>
          <t>апрель — декабрь 2026</t>
        </is>
      </c>
    </row>
    <row r="64">
      <c r="A64" s="7" t="inlineStr">
        <is>
          <t>Скидка Indigo за всю территорию фабрики</t>
        </is>
      </c>
      <c r="B64" s="38" t="n">
        <v>0.15</v>
      </c>
      <c r="C64" s="7" t="inlineStr">
        <is>
          <t>доля</t>
        </is>
      </c>
      <c r="H64" s="12" t="inlineStr">
        <is>
          <t>КП от 19.08.2026, условия предоставления скидок</t>
        </is>
      </c>
    </row>
    <row r="65">
      <c r="A65" s="7" t="inlineStr">
        <is>
          <t>Скидка Indigo за 100 % предоплату за год</t>
        </is>
      </c>
      <c r="B65" s="38" t="n">
        <v>0.15</v>
      </c>
      <c r="C65" s="7" t="inlineStr">
        <is>
          <t>доля</t>
        </is>
      </c>
      <c r="H65" s="12" t="inlineStr">
        <is>
          <t>КП от 19.08.2026, дополнительно к предыдущей</t>
        </is>
      </c>
    </row>
    <row r="66">
      <c r="A66" s="7" t="inlineStr">
        <is>
          <t>Скидка Indigo неплательщику НДС</t>
        </is>
      </c>
      <c r="B66" s="38" t="n">
        <v>0.16</v>
      </c>
      <c r="C66" s="7" t="inlineStr">
        <is>
          <t>доля</t>
        </is>
      </c>
      <c r="H66" s="12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2026-08-24T19:29:33Z</dcterms:created>
  <dcterms:modified xsi:type="dcterms:W3CDTF">2026-08-24T19:29:33Z</dcterms:modified>
</cp:coreProperties>
</file>