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ККЗ" sheetId="2" state="visible" r:id="rId2"/>
    <sheet name="Бройлерные площадки" sheetId="3" state="visible" r:id="rId3"/>
    <sheet name="Инкубаторий" sheetId="4" state="visible" r:id="rId4"/>
    <sheet name="ЗПП" sheetId="5" state="visible" r:id="rId5"/>
    <sheet name="Склад ТМЦ" sheetId="6" state="visible" r:id="rId6"/>
    <sheet name="АБК" sheetId="7" state="visible" r:id="rId7"/>
    <sheet name="Штат УКПФ" sheetId="8" state="visible" r:id="rId8"/>
    <sheet name="Данные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—&quot;"/>
    <numFmt numFmtId="165" formatCode="0.0&quot;×&quot;"/>
    <numFmt numFmtId="166" formatCode="#,##0.000;;&quot;—&quot;"/>
    <numFmt numFmtId="167" formatCode="0 %"/>
    <numFmt numFmtId="168" formatCode="#,##0;;&quot;—&quot;"/>
    <numFmt numFmtId="169" formatCode="#,##0.0;;&quot;—&quot;"/>
  </numFmts>
  <fonts count="9">
    <font>
      <name val="Calibri"/>
      <family val="2"/>
      <color theme="1"/>
      <sz val="11"/>
      <scheme val="minor"/>
    </font>
    <font>
      <name val="Arial"/>
      <b val="1"/>
      <color rgb="000B6E5F"/>
      <sz val="14"/>
    </font>
    <font>
      <name val="Arial"/>
      <i val="1"/>
      <color rgb="0070706A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0B6E5F"/>
      </patternFill>
    </fill>
    <fill>
      <patternFill patternType="solid">
        <fgColor rgb="00E2F0EC"/>
      </patternFill>
    </fill>
    <fill>
      <patternFill patternType="solid">
        <fgColor rgb="00FFF6CC"/>
      </patternFill>
    </fill>
  </fills>
  <borders count="10">
    <border>
      <left/>
      <right/>
      <top/>
      <bottom/>
      <diagonal/>
    </border>
    <border>
      <left style="thin">
        <color rgb="00C8C2AE"/>
      </left>
      <right style="thin">
        <color rgb="00C8C2AE"/>
      </right>
      <top style="thin">
        <color rgb="00C8C2AE"/>
      </top>
      <bottom style="thin">
        <color rgb="00C8C2AE"/>
      </bottom>
    </border>
    <border>
      <top style="medium">
        <color rgb="0016211F"/>
      </top>
    </border>
    <border>
      <left/>
      <right/>
      <top style="thin">
        <color rgb="00C8C2AE"/>
      </top>
      <bottom/>
      <diagonal/>
    </border>
    <border>
      <left/>
      <right style="thin">
        <color rgb="00C8C2AE"/>
      </right>
      <top style="thin">
        <color rgb="00C8C2AE"/>
      </top>
      <bottom/>
      <diagonal/>
    </border>
    <border>
      <left/>
      <right style="thin">
        <color rgb="00C8C2AE"/>
      </right>
      <top style="thin">
        <color rgb="00C8C2AE"/>
      </top>
      <bottom style="thin">
        <color rgb="00C8C2AE"/>
      </bottom>
      <diagonal/>
    </border>
    <border>
      <left/>
      <right/>
      <top style="thin">
        <color rgb="00C8C2AE"/>
      </top>
      <bottom style="thin">
        <color rgb="00C8C2AE"/>
      </bottom>
      <diagonal/>
    </border>
    <border>
      <left style="thin">
        <color rgb="00C8C2AE"/>
      </left>
      <right/>
      <top/>
      <bottom/>
      <diagonal/>
    </border>
    <border>
      <left style="thin">
        <color rgb="00C8C2AE"/>
      </left>
      <right style="thin">
        <color rgb="00C8C2AE"/>
      </right>
      <top/>
      <bottom/>
      <diagonal/>
    </border>
    <border>
      <left style="thin">
        <color rgb="00C8C2AE"/>
      </left>
      <right style="thin">
        <color rgb="00C8C2AE"/>
      </right>
      <top/>
      <bottom style="thin">
        <color rgb="00C8C2AE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164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8" fillId="0" borderId="2" pivotButton="0" quotePrefix="0" xfId="0"/>
    <xf numFmtId="164" fontId="8" fillId="3" borderId="2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8" fillId="3" borderId="2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center"/>
    </xf>
    <xf numFmtId="166" fontId="5" fillId="0" borderId="1" pivotButton="0" quotePrefix="0" xfId="0"/>
    <xf numFmtId="0" fontId="0" fillId="0" borderId="2" pivotButton="0" quotePrefix="0" xfId="0"/>
    <xf numFmtId="0" fontId="2" fillId="0" borderId="0" applyAlignment="1" pivotButton="0" quotePrefix="0" xfId="0">
      <alignment vertical="top" wrapText="1"/>
    </xf>
    <xf numFmtId="167" fontId="7" fillId="0" borderId="1" applyAlignment="1" pivotButton="0" quotePrefix="0" xfId="0">
      <alignment horizontal="center"/>
    </xf>
    <xf numFmtId="0" fontId="4" fillId="3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164" fontId="8" fillId="3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164" fontId="7" fillId="0" borderId="1" pivotButton="0" quotePrefix="0" xfId="0"/>
    <xf numFmtId="164" fontId="7" fillId="0" borderId="1" applyAlignment="1" pivotButton="0" quotePrefix="0" xfId="0">
      <alignment horizontal="center"/>
    </xf>
    <xf numFmtId="0" fontId="4" fillId="0" borderId="2" pivotButton="0" quotePrefix="0" xfId="0"/>
    <xf numFmtId="164" fontId="4" fillId="0" borderId="2" applyAlignment="1" pivotButton="0" quotePrefix="0" xfId="0">
      <alignment horizontal="center"/>
    </xf>
    <xf numFmtId="0" fontId="4" fillId="0" borderId="1" pivotButton="0" quotePrefix="0" xfId="0"/>
    <xf numFmtId="168" fontId="5" fillId="0" borderId="1" pivotButton="0" quotePrefix="0" xfId="0"/>
    <xf numFmtId="169" fontId="5" fillId="0" borderId="1" pivotButton="0" quotePrefix="0" xfId="0"/>
    <xf numFmtId="164" fontId="4" fillId="0" borderId="2" pivotButton="0" quotePrefix="0" xfId="0"/>
    <xf numFmtId="169" fontId="4" fillId="0" borderId="2" pivotButton="0" quotePrefix="0" xfId="0"/>
    <xf numFmtId="164" fontId="6" fillId="4" borderId="1" pivotButton="0" quotePrefix="0" xfId="0"/>
    <xf numFmtId="0" fontId="2" fillId="0" borderId="1" applyAlignment="1" pivotButton="0" quotePrefix="0" xfId="0">
      <alignment vertical="center" wrapText="1"/>
    </xf>
    <xf numFmtId="169" fontId="6" fillId="4" borderId="1" pivotButton="0" quotePrefix="0" xfId="0"/>
    <xf numFmtId="167" fontId="6" fillId="4" borderId="1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9" pivotButton="0" quotePrefix="0" xfId="0"/>
    <xf numFmtId="165" fontId="4" fillId="0" borderId="1" applyAlignment="1" pivotButton="0" quotePrefix="0" xfId="0">
      <alignment horizontal="center"/>
    </xf>
    <xf numFmtId="166" fontId="5" fillId="0" borderId="1" pivotButton="0" quotePrefix="0" xfId="0"/>
    <xf numFmtId="167" fontId="7" fillId="0" borderId="1" applyAlignment="1" pivotButton="0" quotePrefix="0" xfId="0">
      <alignment horizontal="center"/>
    </xf>
    <xf numFmtId="168" fontId="5" fillId="0" borderId="1" pivotButton="0" quotePrefix="0" xfId="0"/>
    <xf numFmtId="169" fontId="5" fillId="0" borderId="1" pivotButton="0" quotePrefix="0" xfId="0"/>
    <xf numFmtId="169" fontId="4" fillId="0" borderId="2" pivotButton="0" quotePrefix="0" xfId="0"/>
    <xf numFmtId="169" fontId="6" fillId="4" borderId="1" pivotButton="0" quotePrefix="0" xfId="0"/>
    <xf numFmtId="167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7" customWidth="1" min="3" max="3"/>
    <col width="15" customWidth="1" min="4" max="4"/>
    <col width="17" customWidth="1" min="5" max="5"/>
    <col width="15" customWidth="1" min="6" max="6"/>
    <col width="17" customWidth="1" min="7" max="7"/>
    <col width="3" customWidth="1" min="8" max="8"/>
    <col width="26" customWidth="1" min="9" max="9"/>
    <col width="20" customWidth="1" min="10" max="10"/>
    <col width="20" customWidth="1" min="11" max="11"/>
  </cols>
  <sheetData>
    <row r="1">
      <c r="A1" s="1" t="inlineStr">
        <is>
          <t>СРАВНЕНИЕ КП · дератизация УКПФ, 2026</t>
        </is>
      </c>
    </row>
    <row r="2" ht="24" customHeight="1">
      <c r="A2" s="2" t="inlineStr">
        <is>
          <t>Все суммы в тенге. Только дератизация: дезинсекция у подрядчиков идёт отдельно. Цены Indigo включают НДС, цены Pest Hunters — без НДС. Колонка «Штат УКПФ» — материалы по объектам; фонд оплаты труда идёт отдельной строкой ниже, его величина зависит от численности, заданной на листе «Данные».</t>
        </is>
      </c>
    </row>
    <row r="3"/>
    <row r="4">
      <c r="A4" s="3" t="inlineStr">
        <is>
          <t>Объект</t>
        </is>
      </c>
      <c r="B4" s="4" t="inlineStr">
        <is>
          <t>Indigo Solutions</t>
        </is>
      </c>
      <c r="D4" s="4" t="inlineStr">
        <is>
          <t>Pest Hunters</t>
        </is>
      </c>
      <c r="F4" s="4" t="inlineStr">
        <is>
          <t>Штат УКПФ</t>
        </is>
      </c>
      <c r="I4" s="3" t="inlineStr">
        <is>
          <t>ЧИСЛЕННОСТЬ ШТАТА: 2 vs 5 ДЕРАТИЗАТОРА</t>
        </is>
      </c>
      <c r="J4" s="48" t="n"/>
      <c r="K4" s="49" t="n"/>
    </row>
    <row r="5" ht="28" customHeight="1">
      <c r="A5" s="50" t="n"/>
      <c r="B5" s="6" t="inlineStr">
        <is>
          <t>месяц</t>
        </is>
      </c>
      <c r="C5" s="6" t="inlineStr">
        <is>
          <t>год</t>
        </is>
      </c>
      <c r="D5" s="6" t="inlineStr">
        <is>
          <t>месяц</t>
        </is>
      </c>
      <c r="E5" s="6" t="inlineStr">
        <is>
          <t>год</t>
        </is>
      </c>
      <c r="F5" s="6" t="inlineStr">
        <is>
          <t>месяц (расходники)</t>
        </is>
      </c>
      <c r="G5" s="6" t="inlineStr">
        <is>
          <t>год (расходники)</t>
        </is>
      </c>
      <c r="I5" s="7" t="inlineStr">
        <is>
          <t>Показатель</t>
        </is>
      </c>
      <c r="J5" s="8" t="inlineStr">
        <is>
          <t>2 дератизатора</t>
        </is>
      </c>
      <c r="K5" s="8" t="inlineStr">
        <is>
          <t>5 дератизаторов</t>
        </is>
      </c>
    </row>
    <row r="6">
      <c r="A6" s="9" t="inlineStr">
        <is>
          <t>ККЗ</t>
        </is>
      </c>
      <c r="B6" s="10">
        <f>C6/12</f>
        <v>96600</v>
      </c>
      <c r="C6" s="11">
        <f>'ККЗ'!B5</f>
        <v>1159200</v>
      </c>
      <c r="D6" s="10">
        <f>E6/12</f>
        <v>75000</v>
      </c>
      <c r="E6" s="11">
        <f>'ККЗ'!C5</f>
        <v>900000</v>
      </c>
      <c r="F6" s="10">
        <f>G6/12</f>
        <v>7344.791667</v>
      </c>
      <c r="G6" s="11">
        <f>'ККЗ'!D5</f>
        <v>88137.5</v>
      </c>
      <c r="I6" s="9" t="inlineStr">
        <is>
          <t>Оклад одного, ₸/мес</t>
        </is>
      </c>
      <c r="J6" s="12">
        <f>Данные!$B$11</f>
        <v>258488</v>
      </c>
      <c r="K6" s="12">
        <f>Данные!$B$12</f>
        <v>350000</v>
      </c>
    </row>
    <row r="7">
      <c r="A7" s="9" t="inlineStr">
        <is>
          <t>Бройлерные площадки</t>
        </is>
      </c>
      <c r="B7" s="10">
        <f>C7/12</f>
        <v>3787300</v>
      </c>
      <c r="C7" s="11">
        <f>'Бройлерные площадки'!B5</f>
        <v>45447600</v>
      </c>
      <c r="D7" s="10">
        <f>E7/12</f>
        <v>2897500</v>
      </c>
      <c r="E7" s="11">
        <f>'Бройлерные площадки'!C5</f>
        <v>34770000</v>
      </c>
      <c r="F7" s="10">
        <f>G7/12</f>
        <v>335989.4583</v>
      </c>
      <c r="G7" s="11">
        <f>'Бройлерные площадки'!D5</f>
        <v>4031873.5</v>
      </c>
      <c r="I7" s="9" t="inlineStr">
        <is>
          <t>ФОТ в месяц, ₸</t>
        </is>
      </c>
      <c r="J7" s="12">
        <f>2*Данные!$B$11</f>
        <v>516976</v>
      </c>
      <c r="K7" s="12">
        <f>5*Данные!$B$12</f>
        <v>1750000</v>
      </c>
    </row>
    <row r="8">
      <c r="A8" s="9" t="inlineStr">
        <is>
          <t>Инкубаторий</t>
        </is>
      </c>
      <c r="B8" s="10">
        <f>C8/12</f>
        <v>126200</v>
      </c>
      <c r="C8" s="11">
        <f>'Инкубаторий'!B5</f>
        <v>1514400</v>
      </c>
      <c r="D8" s="10">
        <f>E8/12</f>
        <v>120000</v>
      </c>
      <c r="E8" s="11">
        <f>'Инкубаторий'!C5</f>
        <v>1440000</v>
      </c>
      <c r="F8" s="10">
        <f>G8/12</f>
        <v>15350.45833</v>
      </c>
      <c r="G8" s="11">
        <f>'Инкубаторий'!D5</f>
        <v>184205.5</v>
      </c>
      <c r="I8" s="9" t="inlineStr">
        <is>
          <t>ФОТ за год, ₸</t>
        </is>
      </c>
      <c r="J8" s="12">
        <f>2*Данные!$B$11*12</f>
        <v>6203712</v>
      </c>
      <c r="K8" s="12">
        <f>5*Данные!$B$12*12</f>
        <v>21000000</v>
      </c>
    </row>
    <row r="9">
      <c r="A9" s="9" t="inlineStr">
        <is>
          <t>ЗПП</t>
        </is>
      </c>
      <c r="B9" s="10">
        <f>C9/12</f>
        <v>126200</v>
      </c>
      <c r="C9" s="11">
        <f>'ЗПП'!B5</f>
        <v>1514400</v>
      </c>
      <c r="D9" s="10">
        <f>E9/12</f>
        <v>180000</v>
      </c>
      <c r="E9" s="11">
        <f>'ЗПП'!C5</f>
        <v>2160000</v>
      </c>
      <c r="F9" s="13" t="inlineStr">
        <is>
          <t>нормы не заданы</t>
        </is>
      </c>
      <c r="G9" s="49" t="n"/>
      <c r="I9" s="9" t="inlineStr">
        <is>
          <t>Материалы, первый год, ₸</t>
        </is>
      </c>
      <c r="J9" s="12">
        <f>((Данные!$B$32+Данные!$C$32)*Данные!$B$9+Данные!$D$32*Данные!$B$8*Данные!$B$14+Данные!$D$32*2*Данные!$B$8*Данные!$B$15+Данные!$G$32*Данные!$B$6*Данные!$B$14+Данные!$F$32*Данные!$B$7*Данные!$B$14+Данные!$B$32*Данные!$B$10*Данные!$B$14)</f>
        <v>4592963.25</v>
      </c>
      <c r="K9" s="12">
        <f>((Данные!$B$32+Данные!$C$32)*Данные!$B$9+Данные!$D$32*Данные!$B$8*Данные!$B$14+Данные!$D$32*2*Данные!$B$8*Данные!$B$15+Данные!$G$32*Данные!$B$6*Данные!$B$14+Данные!$F$32*Данные!$B$7*Данные!$B$14+Данные!$B$32*Данные!$B$10*Данные!$B$14)</f>
        <v>4592963.25</v>
      </c>
    </row>
    <row r="10">
      <c r="A10" s="9" t="inlineStr">
        <is>
          <t>Склад ТМЦ</t>
        </is>
      </c>
      <c r="B10" s="13" t="inlineStr">
        <is>
          <t>нет в КП</t>
        </is>
      </c>
      <c r="C10" s="49" t="n"/>
      <c r="D10" s="10">
        <f>E10/12</f>
        <v>40000</v>
      </c>
      <c r="E10" s="11">
        <f>'Склад ТМЦ'!C5</f>
        <v>480000</v>
      </c>
      <c r="F10" s="13" t="inlineStr">
        <is>
          <t>нормы не заданы</t>
        </is>
      </c>
      <c r="G10" s="49" t="n"/>
      <c r="I10" s="14" t="inlineStr">
        <is>
          <t>ИТОГО, ПЕРВЫЙ ГОД, ₸</t>
        </is>
      </c>
      <c r="J10" s="15">
        <f>J8+J9</f>
        <v>10796675.25</v>
      </c>
      <c r="K10" s="15">
        <f>K8+K9</f>
        <v>25592963.25</v>
      </c>
    </row>
    <row r="11">
      <c r="A11" s="9" t="inlineStr">
        <is>
          <t>АБК · 11 корпусов</t>
        </is>
      </c>
      <c r="B11" s="13" t="inlineStr">
        <is>
          <t>нет в КП</t>
        </is>
      </c>
      <c r="C11" s="49" t="n"/>
      <c r="D11" s="13" t="inlineStr">
        <is>
          <t>нет в КП</t>
        </is>
      </c>
      <c r="E11" s="49" t="n"/>
      <c r="F11" s="10">
        <f>G11/12</f>
        <v>24062.22917</v>
      </c>
      <c r="G11" s="11">
        <f>'АБК'!D5</f>
        <v>288746.75</v>
      </c>
      <c r="I11" s="2" t="inlineStr">
        <is>
          <t>Разница 5 против 2 чел., ₸/год</t>
        </is>
      </c>
      <c r="K11" s="16">
        <f>K10-J10</f>
        <v>14796288</v>
      </c>
    </row>
    <row r="12">
      <c r="A12" s="14" t="inlineStr">
        <is>
          <t>ВСЕГО ЗА ГОД, РАСХОДНИКИ</t>
        </is>
      </c>
      <c r="B12" s="17">
        <f>C12/12</f>
        <v>4136300</v>
      </c>
      <c r="C12" s="17">
        <f>SUM(C6:C11)</f>
        <v>49635600</v>
      </c>
      <c r="D12" s="17">
        <f>E12/12</f>
        <v>3312500</v>
      </c>
      <c r="E12" s="17">
        <f>SUM(E6:E11)</f>
        <v>39750000</v>
      </c>
      <c r="F12" s="17">
        <f>G12/12</f>
        <v>382746.9375</v>
      </c>
      <c r="G12" s="17">
        <f>SUM(G6:G11)</f>
        <v>4592963.25</v>
      </c>
    </row>
    <row r="13"/>
    <row r="14">
      <c r="A14" s="18" t="inlineStr">
        <is>
          <t>РАЗНИЦА С СОБСТВЕННЫМ ШТАТОМ</t>
        </is>
      </c>
      <c r="B14" s="19" t="n"/>
      <c r="C14" s="19" t="n"/>
      <c r="D14" s="19" t="n"/>
    </row>
    <row r="15">
      <c r="A15" s="20" t="inlineStr">
        <is>
          <t>Показатель</t>
        </is>
      </c>
      <c r="B15" s="21" t="inlineStr">
        <is>
          <t>в месяц</t>
        </is>
      </c>
      <c r="C15" s="21" t="inlineStr">
        <is>
          <t>за год</t>
        </is>
      </c>
      <c r="D15" s="21" t="inlineStr">
        <is>
          <t>во сколько раз</t>
        </is>
      </c>
    </row>
    <row r="16">
      <c r="A16" s="9" t="inlineStr">
        <is>
          <t>Indigo Solutions дороже штата</t>
        </is>
      </c>
      <c r="B16" s="10">
        <f>C16/12</f>
        <v>2003553.062</v>
      </c>
      <c r="C16" s="11">
        <f>C12-(G12+Данные!$B$13*Данные!$B$12*12)</f>
        <v>24042636.75</v>
      </c>
      <c r="D16" s="51">
        <f>IF((G12+Данные!$B$13*Данные!$B$12*12)=0,0,C12/(G12+Данные!$B$13*Данные!$B$12*12))</f>
        <v>1.93942372</v>
      </c>
    </row>
    <row r="17">
      <c r="A17" s="9" t="inlineStr">
        <is>
          <t>Pest Hunters дороже штата</t>
        </is>
      </c>
      <c r="B17" s="10">
        <f>C17/12</f>
        <v>1179753.062</v>
      </c>
      <c r="C17" s="11">
        <f>E12-(G12+Данные!$B$13*Данные!$B$12*12)</f>
        <v>14157036.75</v>
      </c>
      <c r="D17" s="51">
        <f>IF((G12+Данные!$B$13*Данные!$B$12*12)=0,0,E12/(G12+Данные!$B$13*Данные!$B$12*12))</f>
        <v>1.553161297</v>
      </c>
    </row>
    <row r="18">
      <c r="A18" s="2" t="inlineStr">
        <is>
          <t>Штат посчитан вместе с ФОТ (расходники + зарплата), КП подрядчиков — как есть.</t>
        </is>
      </c>
    </row>
    <row r="19"/>
    <row r="20">
      <c r="A20" s="18" t="inlineStr">
        <is>
          <t>ШТАТ УКПФ · ПОЛНАЯ РАСШИФРОВКА</t>
        </is>
      </c>
      <c r="B20" s="19" t="n"/>
      <c r="C20" s="19" t="n"/>
      <c r="D20" s="19" t="n"/>
      <c r="E20" s="19" t="n"/>
      <c r="F20" s="19" t="n"/>
      <c r="G20" s="19" t="n"/>
    </row>
    <row r="21">
      <c r="A21" s="23" t="inlineStr">
        <is>
          <t>Статья</t>
        </is>
      </c>
      <c r="B21" s="6" t="inlineStr">
        <is>
          <t>Количество</t>
        </is>
      </c>
      <c r="C21" s="6" t="inlineStr">
        <is>
          <t>Ед. изм.</t>
        </is>
      </c>
      <c r="D21" s="6" t="inlineStr">
        <is>
          <t>Цена за ед., ₸</t>
        </is>
      </c>
      <c r="E21" s="6" t="inlineStr">
        <is>
          <t>в месяц, ₸</t>
        </is>
      </c>
      <c r="F21" s="6" t="inlineStr">
        <is>
          <t>за год, ₸</t>
        </is>
      </c>
    </row>
    <row r="22">
      <c r="A22" s="9" t="inlineStr">
        <is>
          <t>Численность штата</t>
        </is>
      </c>
      <c r="B22" s="10">
        <f>Данные!$B$13</f>
        <v>5</v>
      </c>
      <c r="C22" s="24" t="inlineStr">
        <is>
          <t>чел.</t>
        </is>
      </c>
      <c r="D22" s="5" t="n"/>
      <c r="E22" s="5" t="n"/>
      <c r="F22" s="5" t="n"/>
    </row>
    <row r="23">
      <c r="A23" s="9" t="inlineStr">
        <is>
          <t>Оклад одного дератизатора</t>
        </is>
      </c>
      <c r="B23" s="5" t="n"/>
      <c r="C23" s="24" t="inlineStr">
        <is>
          <t>₸/мес</t>
        </is>
      </c>
      <c r="D23" s="10">
        <f>Данные!$B$12</f>
        <v>350000</v>
      </c>
      <c r="E23" s="5" t="n"/>
      <c r="F23" s="5" t="n"/>
    </row>
    <row r="24">
      <c r="A24" s="9" t="inlineStr">
        <is>
          <t>Фонд оплаты труда</t>
        </is>
      </c>
      <c r="B24" s="10">
        <f>Данные!$B$13</f>
        <v>5</v>
      </c>
      <c r="C24" s="24" t="inlineStr">
        <is>
          <t>чел.</t>
        </is>
      </c>
      <c r="D24" s="10">
        <f>Данные!$B$12</f>
        <v>350000</v>
      </c>
      <c r="E24" s="10">
        <f>Данные!$B$13*Данные!$B$12</f>
        <v>1750000</v>
      </c>
      <c r="F24" s="11">
        <f>Данные!$B$13*Данные!$B$12*12</f>
        <v>21000000</v>
      </c>
    </row>
    <row r="25">
      <c r="A25" s="9" t="inlineStr">
        <is>
          <t>Приманочные станции 1-го и 2-го контура · разовая закупка</t>
        </is>
      </c>
      <c r="B25" s="10">
        <f>Данные!$B$32+Данные!$C$32</f>
        <v>1377</v>
      </c>
      <c r="C25" s="24" t="inlineStr">
        <is>
          <t>шт</t>
        </is>
      </c>
      <c r="D25" s="10">
        <f>Данные!$B$9</f>
        <v>2160</v>
      </c>
      <c r="E25" s="5" t="n"/>
      <c r="F25" s="11">
        <f>(Данные!$B$32+Данные!$C$32)*Данные!$B$9</f>
        <v>2974320</v>
      </c>
    </row>
    <row r="26">
      <c r="A26" s="9" t="inlineStr">
        <is>
          <t>Клеевые станции 3-го контура · апрель — октябрь</t>
        </is>
      </c>
      <c r="B26" s="10">
        <f>Данные!$D$32</f>
        <v>343</v>
      </c>
      <c r="C26" s="24" t="inlineStr">
        <is>
          <t>шт/мес</t>
        </is>
      </c>
      <c r="D26" s="10">
        <f>Данные!$B$8</f>
        <v>160</v>
      </c>
      <c r="E26" s="10">
        <f>Данные!$D$32*Данные!$B$8</f>
        <v>54880</v>
      </c>
      <c r="F26" s="11">
        <f>Данные!$D$32*Данные!$B$8*Данные!$B$14</f>
        <v>384160</v>
      </c>
    </row>
    <row r="27">
      <c r="A27" s="9" t="inlineStr">
        <is>
          <t>Клеевые станции 3-го контура · ноябрь — март, объём вдвое</t>
        </is>
      </c>
      <c r="B27" s="10">
        <f>Данные!$D$32*2</f>
        <v>686</v>
      </c>
      <c r="C27" s="24" t="inlineStr">
        <is>
          <t>шт/мес</t>
        </is>
      </c>
      <c r="D27" s="10">
        <f>Данные!$B$8</f>
        <v>160</v>
      </c>
      <c r="E27" s="10">
        <f>Данные!$D$32*2*Данные!$B$8</f>
        <v>109760</v>
      </c>
      <c r="F27" s="11">
        <f>Данные!$D$32*2*Данные!$B$8*Данные!$B$15</f>
        <v>548800</v>
      </c>
    </row>
    <row r="28">
      <c r="A28" s="9" t="inlineStr">
        <is>
          <t>Зерноцид · 2-й контур, тёплый сезон</t>
        </is>
      </c>
      <c r="B28" s="10">
        <f>Данные!$G$32</f>
        <v>16</v>
      </c>
      <c r="C28" s="24" t="inlineStr">
        <is>
          <t>кг/мес</t>
        </is>
      </c>
      <c r="D28" s="10">
        <f>Данные!$B$6</f>
        <v>740</v>
      </c>
      <c r="E28" s="10">
        <f>Данные!$G$32*Данные!$B$6</f>
        <v>11840</v>
      </c>
      <c r="F28" s="11">
        <f>Данные!$G$32*Данные!$B$6*Данные!$B$14</f>
        <v>82880</v>
      </c>
    </row>
    <row r="29">
      <c r="A29" s="9" t="inlineStr">
        <is>
          <t>Pest Killer, брикеты · заряжаются в станции 2-го контура</t>
        </is>
      </c>
      <c r="B29" s="10">
        <f>Данные!$F$32</f>
        <v>20.3</v>
      </c>
      <c r="C29" s="24" t="inlineStr">
        <is>
          <t>кг/мес</t>
        </is>
      </c>
      <c r="D29" s="10">
        <f>Данные!$B$7</f>
        <v>3642.5</v>
      </c>
      <c r="E29" s="10">
        <f>Данные!$F$32*Данные!$B$7</f>
        <v>73942.75</v>
      </c>
      <c r="F29" s="11">
        <f>Данные!$F$32*Данные!$B$7*Данные!$B$14</f>
        <v>517599.25</v>
      </c>
    </row>
    <row r="30">
      <c r="A30" s="9" t="inlineStr">
        <is>
          <t xml:space="preserve">   в том числе станций 2-го контура, которые заряжаются</t>
        </is>
      </c>
      <c r="B30" s="10">
        <f>Данные!$C$32</f>
        <v>1198</v>
      </c>
      <c r="C30" s="24" t="inlineStr">
        <is>
          <t>шт</t>
        </is>
      </c>
      <c r="D30" s="5" t="n"/>
      <c r="E30" s="5" t="n"/>
      <c r="F30" s="5" t="n"/>
    </row>
    <row r="31">
      <c r="A31" s="9" t="inlineStr">
        <is>
          <t xml:space="preserve">   расход брикетов на одну станцию 2-го контура</t>
        </is>
      </c>
      <c r="B31" s="52">
        <f>Данные!$F$32/Данные!$C$32</f>
        <v>0.01694490818</v>
      </c>
      <c r="C31" s="24" t="inlineStr">
        <is>
          <t>кг/мес</t>
        </is>
      </c>
      <c r="D31" s="5" t="n"/>
      <c r="E31" s="5" t="n"/>
      <c r="F31" s="5" t="n"/>
    </row>
    <row r="32">
      <c r="A32" s="9" t="inlineStr">
        <is>
          <t>Бутылки, 1-й контур · тёплый сезон</t>
        </is>
      </c>
      <c r="B32" s="10">
        <f>Данные!$B$32</f>
        <v>179</v>
      </c>
      <c r="C32" s="24" t="inlineStr">
        <is>
          <t>шт/мес</t>
        </is>
      </c>
      <c r="D32" s="10">
        <f>Данные!$B$10</f>
        <v>68</v>
      </c>
      <c r="E32" s="10">
        <f>Данные!$B$32*Данные!$B$10</f>
        <v>12172</v>
      </c>
      <c r="F32" s="11">
        <f>Данные!$B$32*Данные!$B$10*Данные!$B$14</f>
        <v>85204</v>
      </c>
    </row>
    <row r="33">
      <c r="A33" s="14" t="inlineStr">
        <is>
          <t>ИТОГО ШТАТ УКПФ, ПЕРВЫЙ ГОД (с разовой закупкой станций)</t>
        </is>
      </c>
      <c r="B33" s="26" t="n"/>
      <c r="C33" s="26" t="n"/>
      <c r="D33" s="26" t="n"/>
      <c r="E33" s="17">
        <f>F33/12</f>
        <v>2132746.938</v>
      </c>
      <c r="F33" s="17">
        <f>F24+F25+F26+F27+F28+F29+F32</f>
        <v>25592963.25</v>
      </c>
    </row>
    <row r="34" ht="26" customHeight="1">
      <c r="A34" s="27" t="inlineStr">
        <is>
          <t>Материалы от численности не зависят: норма ядов и станций привязана к точкам, а не к людям. Станции — разовая закупка (входит только в первый год); яды и клей — ежегодно, только тёплый сезон. Каждый дополнительный дератизатор добавляет только фонд оплаты труда.</t>
        </is>
      </c>
    </row>
    <row r="35"/>
    <row r="36">
      <c r="A36" s="18" t="inlineStr">
        <is>
          <t>СКИДКИ INDIGO ИЗ КП ОТ 19.08.2026</t>
        </is>
      </c>
      <c r="B36" s="19" t="n"/>
      <c r="C36" s="19" t="n"/>
      <c r="D36" s="19" t="n"/>
      <c r="E36" s="19" t="n"/>
      <c r="F36" s="19" t="n"/>
      <c r="G36" s="19" t="n"/>
    </row>
    <row r="37">
      <c r="A37" s="20" t="inlineStr">
        <is>
          <t>Условие</t>
        </is>
      </c>
      <c r="B37" s="21" t="inlineStr">
        <is>
          <t>в месяц</t>
        </is>
      </c>
      <c r="C37" s="21" t="inlineStr">
        <is>
          <t>за год</t>
        </is>
      </c>
      <c r="D37" s="21" t="inlineStr">
        <is>
          <t>Ставка</t>
        </is>
      </c>
    </row>
    <row r="38">
      <c r="A38" s="9" t="inlineStr">
        <is>
          <t>Цена КП без скидок</t>
        </is>
      </c>
      <c r="B38" s="10">
        <f>C38/12</f>
        <v>4136300</v>
      </c>
      <c r="C38" s="11">
        <f>C12</f>
        <v>49635600</v>
      </c>
      <c r="D38" s="5" t="n"/>
    </row>
    <row r="39">
      <c r="A39" s="9" t="inlineStr">
        <is>
          <t>Вся территория фабрики</t>
        </is>
      </c>
      <c r="B39" s="10">
        <f>C39/12</f>
        <v>3515855</v>
      </c>
      <c r="C39" s="11">
        <f>C12*(1-Данные!$B$67)</f>
        <v>42190260</v>
      </c>
      <c r="D39" s="53">
        <f>Данные!$B$67</f>
        <v>0.15</v>
      </c>
    </row>
    <row r="40">
      <c r="A40" s="9" t="inlineStr">
        <is>
          <t>Вся территория + 100 % предоплата</t>
        </is>
      </c>
      <c r="B40" s="10">
        <f>C40/12</f>
        <v>2988476.75</v>
      </c>
      <c r="C40" s="11">
        <f>C12*(1-Данные!$B$67)*(1-Данные!$B$68)</f>
        <v>35861721</v>
      </c>
      <c r="D40" s="53">
        <f>Данные!$B$68</f>
        <v>0.15</v>
      </c>
    </row>
    <row r="41">
      <c r="A41" s="9" t="inlineStr">
        <is>
          <t>Вся территория + предоплата + неплательщик НДС</t>
        </is>
      </c>
      <c r="B41" s="10">
        <f>C41/12</f>
        <v>2510320.47</v>
      </c>
      <c r="C41" s="11">
        <f>C12*(1-Данные!$B$67)*(1-Данные!$B$68)*(1-Данные!$B$69)</f>
        <v>30123845.64</v>
      </c>
      <c r="D41" s="53">
        <f>Данные!$B$69</f>
        <v>0.16</v>
      </c>
    </row>
    <row r="42"/>
    <row r="43">
      <c r="A43" s="18" t="inlineStr">
        <is>
          <t>ПЕРИОДИЧНОСТЬ ОБХОДОВ</t>
        </is>
      </c>
      <c r="B43" s="19" t="n"/>
      <c r="C43" s="19" t="n"/>
      <c r="D43" s="19" t="n"/>
      <c r="E43" s="19" t="n"/>
      <c r="F43" s="19" t="n"/>
      <c r="G43" s="19" t="n"/>
    </row>
    <row r="44">
      <c r="A44" s="29" t="inlineStr">
        <is>
          <t>Вариант</t>
        </is>
      </c>
      <c r="B44" s="29" t="inlineStr">
        <is>
          <t>Объект</t>
        </is>
      </c>
      <c r="C44" s="29" t="inlineStr">
        <is>
          <t>Обходов в месяц</t>
        </is>
      </c>
      <c r="D44" s="29" t="inlineStr">
        <is>
          <t>Что зафиксировано в документах</t>
        </is>
      </c>
    </row>
    <row r="45">
      <c r="A45" s="9" t="inlineStr">
        <is>
          <t>Indigo Solutions</t>
        </is>
      </c>
      <c r="B45" s="9" t="inlineStr">
        <is>
          <t>все объекты</t>
        </is>
      </c>
      <c r="C45" s="24" t="inlineStr">
        <is>
          <t>в КП не указана</t>
        </is>
      </c>
      <c r="D45" s="30" t="inlineStr">
        <is>
          <t>ответ по заявке ≤ 2 ч, выезд ≤ 24 ч, вызовы без ограничений</t>
        </is>
      </c>
      <c r="E45" s="48" t="n"/>
      <c r="F45" s="48" t="n"/>
      <c r="G45" s="49" t="n"/>
    </row>
    <row r="46">
      <c r="A46" s="9" t="inlineStr">
        <is>
          <t>Pest Hunters</t>
        </is>
      </c>
      <c r="B46" s="9" t="inlineStr">
        <is>
          <t>ККЗ</t>
        </is>
      </c>
      <c r="C46" s="24" t="n">
        <v>1</v>
      </c>
      <c r="D46" s="30" t="inlineStr">
        <is>
          <t>выезд по запросу</t>
        </is>
      </c>
      <c r="E46" s="48" t="n"/>
      <c r="F46" s="48" t="n"/>
      <c r="G46" s="49" t="n"/>
    </row>
    <row r="47">
      <c r="A47" s="9" t="inlineStr">
        <is>
          <t>Pest Hunters</t>
        </is>
      </c>
      <c r="B47" s="9" t="inlineStr">
        <is>
          <t>бройлерные площадки</t>
        </is>
      </c>
      <c r="C47" s="24" t="n">
        <v>1</v>
      </c>
      <c r="D47" s="30" t="inlineStr">
        <is>
          <t>дополнительные визиты по вызову</t>
        </is>
      </c>
      <c r="E47" s="48" t="n"/>
      <c r="F47" s="48" t="n"/>
      <c r="G47" s="49" t="n"/>
    </row>
    <row r="48">
      <c r="A48" s="9" t="inlineStr">
        <is>
          <t>Pest Hunters</t>
        </is>
      </c>
      <c r="B48" s="9" t="inlineStr">
        <is>
          <t>инкубаторий</t>
        </is>
      </c>
      <c r="C48" s="24" t="n">
        <v>2</v>
      </c>
      <c r="D48" s="30" t="inlineStr">
        <is>
          <t>КП №26/75: ежемесячно 2 раза</t>
        </is>
      </c>
      <c r="E48" s="48" t="n"/>
      <c r="F48" s="48" t="n"/>
      <c r="G48" s="49" t="n"/>
    </row>
    <row r="49">
      <c r="A49" s="9" t="inlineStr">
        <is>
          <t>Pest Hunters</t>
        </is>
      </c>
      <c r="B49" s="9" t="inlineStr">
        <is>
          <t>ЗПП</t>
        </is>
      </c>
      <c r="C49" s="24" t="n">
        <v>3</v>
      </c>
      <c r="D49" s="30" t="inlineStr">
        <is>
          <t>по графику на 2026 год, бригада из трёх человек</t>
        </is>
      </c>
      <c r="E49" s="48" t="n"/>
      <c r="F49" s="48" t="n"/>
      <c r="G49" s="49" t="n"/>
    </row>
    <row r="50">
      <c r="A50" s="9" t="inlineStr">
        <is>
          <t>Pest Hunters</t>
        </is>
      </c>
      <c r="B50" s="9" t="inlineStr">
        <is>
          <t>склад ТМЦ</t>
        </is>
      </c>
      <c r="C50" s="24" t="n">
        <v>2</v>
      </c>
      <c r="D50" s="30" t="inlineStr">
        <is>
          <t>КП №26/75: ежемесячно 2 раза (по договору №921 был 1 обход)</t>
        </is>
      </c>
      <c r="E50" s="48" t="n"/>
      <c r="F50" s="48" t="n"/>
      <c r="G50" s="49" t="n"/>
    </row>
    <row r="51">
      <c r="A51" s="9" t="inlineStr">
        <is>
          <t>Штат УКПФ</t>
        </is>
      </c>
      <c r="B51" s="9" t="inlineStr">
        <is>
          <t>все объекты</t>
        </is>
      </c>
      <c r="C51" s="24" t="n">
        <v>8</v>
      </c>
      <c r="D51" s="30" t="inlineStr">
        <is>
          <t>присутствие 5/2, реакция в тот же день</t>
        </is>
      </c>
      <c r="E51" s="48" t="n"/>
      <c r="F51" s="48" t="n"/>
      <c r="G51" s="49" t="n"/>
    </row>
  </sheetData>
  <mergeCells count="19">
    <mergeCell ref="F4:G4"/>
    <mergeCell ref="F10:G10"/>
    <mergeCell ref="D51:G51"/>
    <mergeCell ref="B11:C11"/>
    <mergeCell ref="D50:G50"/>
    <mergeCell ref="D11:E11"/>
    <mergeCell ref="A34:G34"/>
    <mergeCell ref="I4:K4"/>
    <mergeCell ref="D46:G46"/>
    <mergeCell ref="D45:G45"/>
    <mergeCell ref="A4:A5"/>
    <mergeCell ref="B10:C10"/>
    <mergeCell ref="D4:E4"/>
    <mergeCell ref="D49:G49"/>
    <mergeCell ref="F9:G9"/>
    <mergeCell ref="D48:G48"/>
    <mergeCell ref="D47:G47"/>
    <mergeCell ref="A2:G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2" customWidth="1" min="3" max="3"/>
    <col width="20" customWidth="1" min="4" max="4"/>
  </cols>
  <sheetData>
    <row r="1">
      <c r="A1" s="1" t="inlineStr">
        <is>
          <t>ККЗ</t>
        </is>
      </c>
    </row>
    <row r="2" ht="26" customHeight="1">
      <c r="A2" s="27" t="inlineStr">
        <is>
          <t>Кормоцех. Indigo — КП от 19.08.2026, цены с НДС. Pest Hunters — КП №26/12, без НДС. Штат УКПФ — 29 приманочных станций 2-го контура по 2 160 ₸/шт разовой закупки, 1 кг брикетов Pest Killer на обработку, только тёплый сезон.</t>
        </is>
      </c>
    </row>
    <row r="3"/>
    <row r="4">
      <c r="A4" s="31" t="inlineStr">
        <is>
          <t>ЗА ГОД, ₸</t>
        </is>
      </c>
      <c r="B4" s="32" t="inlineStr">
        <is>
          <t>Indigo Solutions</t>
        </is>
      </c>
      <c r="C4" s="32" t="inlineStr">
        <is>
          <t>Pest Hunters</t>
        </is>
      </c>
      <c r="D4" s="32" t="inlineStr">
        <is>
          <t>Штат УКПФ</t>
        </is>
      </c>
    </row>
    <row r="5">
      <c r="B5" s="33">
        <f>D9</f>
        <v>1159200</v>
      </c>
      <c r="C5" s="33">
        <f>D10</f>
        <v>900000</v>
      </c>
      <c r="D5" s="33">
        <f>D11+D12+D13+D14+D15+D16</f>
        <v>88137.5</v>
      </c>
    </row>
    <row r="6"/>
    <row r="7">
      <c r="A7" s="18" t="inlineStr">
        <is>
          <t>ДЕРАТИЗАЦИЯ — ЧТО ВХОДИТ В СРАВНЕНИЕ</t>
        </is>
      </c>
      <c r="B7" s="19" t="n"/>
      <c r="C7" s="19" t="n"/>
      <c r="D7" s="19" t="n"/>
    </row>
    <row r="8">
      <c r="A8" s="20" t="inlineStr">
        <is>
          <t>Статья</t>
        </is>
      </c>
      <c r="B8" s="21" t="inlineStr">
        <is>
          <t>Цена в месяц, ₸</t>
        </is>
      </c>
      <c r="C8" s="21" t="inlineStr">
        <is>
          <t>Месяцев</t>
        </is>
      </c>
      <c r="D8" s="21" t="inlineStr">
        <is>
          <t>За год, ₸</t>
        </is>
      </c>
    </row>
    <row r="9">
      <c r="A9" s="34" t="inlineStr">
        <is>
          <t>Indigo Solutions · барьер вокруг периметра кормоцеха и грязный барьер</t>
        </is>
      </c>
      <c r="B9" s="35">
        <f>Данные!$B$36</f>
        <v>96600</v>
      </c>
      <c r="C9" s="35" t="n">
        <v>12</v>
      </c>
      <c r="D9" s="11">
        <f>B9*C9</f>
        <v>1159200</v>
      </c>
    </row>
    <row r="10">
      <c r="A10" s="34" t="inlineStr">
        <is>
          <t>Pest Hunters · дератизация</t>
        </is>
      </c>
      <c r="B10" s="35">
        <f>Данные!$B$52</f>
        <v>75000</v>
      </c>
      <c r="C10" s="35" t="n">
        <v>12</v>
      </c>
      <c r="D10" s="11">
        <f>B10*C10</f>
        <v>900000</v>
      </c>
    </row>
    <row r="11">
      <c r="A11" s="34" t="inlineStr">
        <is>
          <t>Штат УКПФ · Приманочные станции 1-го и 2-го контура · разовая закупка</t>
        </is>
      </c>
      <c r="B11" s="35">
        <f>(Данные!$B$19+Данные!$C$19)*Данные!$B$9</f>
        <v>62640</v>
      </c>
      <c r="C11" s="35" t="n">
        <v>1</v>
      </c>
      <c r="D11" s="11">
        <f>B11*C11</f>
        <v>62640</v>
      </c>
    </row>
    <row r="12">
      <c r="A12" s="34" t="inlineStr">
        <is>
          <t>Штат УКПФ · Клеевые станции 3-го контура, тёплый сезон</t>
        </is>
      </c>
      <c r="B12" s="35">
        <f>Данные!$D$19*Данные!$B$8</f>
        <v>0</v>
      </c>
      <c r="C12" s="35">
        <f>Данные!$B$14</f>
        <v>7</v>
      </c>
      <c r="D12" s="11">
        <f>B12*C12</f>
        <v>0</v>
      </c>
    </row>
    <row r="13">
      <c r="A13" s="34" t="inlineStr">
        <is>
          <t>Штат УКПФ · Клеевые станции 3-го контура, зимний сезон — объём вдвое</t>
        </is>
      </c>
      <c r="B13" s="35">
        <f>Данные!$D$19*2*Данные!$B$8</f>
        <v>0</v>
      </c>
      <c r="C13" s="35">
        <f>Данные!$B$15</f>
        <v>5</v>
      </c>
      <c r="D13" s="11">
        <f>B13*C13</f>
        <v>0</v>
      </c>
    </row>
    <row r="14">
      <c r="A14" s="34" t="inlineStr">
        <is>
          <t>Штат УКПФ · Зерноцид, 2-й контур</t>
        </is>
      </c>
      <c r="B14" s="35">
        <f>Данные!$G$19*Данные!$B$6</f>
        <v>0</v>
      </c>
      <c r="C14" s="35">
        <f>Данные!$B$14</f>
        <v>7</v>
      </c>
      <c r="D14" s="11">
        <f>B14*C14</f>
        <v>0</v>
      </c>
    </row>
    <row r="15">
      <c r="A15" s="34" t="inlineStr">
        <is>
          <t>Штат УКПФ · Pest Killer, брикеты</t>
        </is>
      </c>
      <c r="B15" s="35">
        <f>Данные!$F$19*Данные!$B$7</f>
        <v>3642.5</v>
      </c>
      <c r="C15" s="35">
        <f>Данные!$B$14</f>
        <v>7</v>
      </c>
      <c r="D15" s="11">
        <f>B15*C15</f>
        <v>25497.5</v>
      </c>
    </row>
    <row r="16">
      <c r="A16" s="34" t="inlineStr">
        <is>
          <t>Штат УКПФ · Бутылки, 1-й контур, тёплый сезон</t>
        </is>
      </c>
      <c r="B16" s="35">
        <f>Данные!$B$19*Данные!$B$10</f>
        <v>0</v>
      </c>
      <c r="C16" s="35">
        <f>Данные!$B$14</f>
        <v>7</v>
      </c>
      <c r="D16" s="11">
        <f>B16*C16</f>
        <v>0</v>
      </c>
    </row>
    <row r="17"/>
    <row r="18">
      <c r="A18" s="18" t="inlineStr">
        <is>
          <t>СПРАВОЧНО: ДЕЗИНСЕКЦИЯ — В СРАВНЕНИЕ НЕ ВХОДИТ</t>
        </is>
      </c>
      <c r="B18" s="19" t="n"/>
      <c r="C18" s="19" t="n"/>
      <c r="D18" s="19" t="n"/>
    </row>
    <row r="19">
      <c r="A19" s="20" t="inlineStr">
        <is>
          <t>Статья</t>
        </is>
      </c>
      <c r="B19" s="21" t="inlineStr">
        <is>
          <t>Цена в месяц, ₸</t>
        </is>
      </c>
      <c r="C19" s="21" t="inlineStr">
        <is>
          <t>Месяцев</t>
        </is>
      </c>
      <c r="D19" s="21" t="inlineStr">
        <is>
          <t>За год, ₸</t>
        </is>
      </c>
    </row>
    <row r="20">
      <c r="A20" s="34" t="inlineStr">
        <is>
          <t>Pest Hunters · дезинсекция</t>
        </is>
      </c>
      <c r="B20" s="35">
        <f>Данные!$B$53</f>
        <v>70000</v>
      </c>
      <c r="C20" s="35" t="n">
        <v>12</v>
      </c>
      <c r="D20" s="10">
        <f>B20*C20</f>
        <v>840000</v>
      </c>
    </row>
    <row r="21"/>
    <row r="22" ht="26" customHeight="1">
      <c r="A22" s="27" t="inlineStr">
        <is>
          <t>Зерноцид по ККЗ в нормах не заявлен, поэтому строка Зерноцида даёт ноль.</t>
        </is>
      </c>
    </row>
    <row r="23" ht="26" customHeight="1">
      <c r="A23" s="27" t="inlineStr">
        <is>
          <t>Зарплата дератизаторов по объектам не делится — она на листе «Штат УКПФ».</t>
        </is>
      </c>
    </row>
  </sheetData>
  <mergeCells count="3">
    <mergeCell ref="A22:D22"/>
    <mergeCell ref="A23:D2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2" customWidth="1" min="3" max="3"/>
    <col width="20" customWidth="1" min="4" max="4"/>
  </cols>
  <sheetData>
    <row r="1">
      <c r="A1" s="1" t="inlineStr">
        <is>
          <t>Бройлерные площадки</t>
        </is>
      </c>
    </row>
    <row r="2" ht="26" customHeight="1">
      <c r="A2" s="27" t="inlineStr">
        <is>
          <t>Восемь площадок: А, Б, В (Восточка), Г, Д, Е, Ж, Айыртау. У Indigo они разбиты на три группы, у Pest Hunters — 122 объекта с сезонным тарифом.</t>
        </is>
      </c>
    </row>
    <row r="3"/>
    <row r="4">
      <c r="A4" s="31" t="inlineStr">
        <is>
          <t>ЗА ГОД, ₸</t>
        </is>
      </c>
      <c r="B4" s="32" t="inlineStr">
        <is>
          <t>Indigo Solutions</t>
        </is>
      </c>
      <c r="C4" s="32" t="inlineStr">
        <is>
          <t>Pest Hunters</t>
        </is>
      </c>
      <c r="D4" s="32" t="inlineStr">
        <is>
          <t>Штат УКПФ</t>
        </is>
      </c>
    </row>
    <row r="5">
      <c r="B5" s="33">
        <f>D9+D10+D11</f>
        <v>45447600</v>
      </c>
      <c r="C5" s="33">
        <f>D12+D13</f>
        <v>34770000</v>
      </c>
      <c r="D5" s="33">
        <f>D14+D15+D16+D17+D18+D19</f>
        <v>4031873.5</v>
      </c>
    </row>
    <row r="6"/>
    <row r="7">
      <c r="A7" s="18" t="inlineStr">
        <is>
          <t>ДЕРАТИЗАЦИЯ — ОСНОВНОЙ ВАРИАНТ</t>
        </is>
      </c>
      <c r="B7" s="19" t="n"/>
      <c r="C7" s="19" t="n"/>
      <c r="D7" s="19" t="n"/>
    </row>
    <row r="8">
      <c r="A8" s="20" t="inlineStr">
        <is>
          <t>Статья</t>
        </is>
      </c>
      <c r="B8" s="21" t="inlineStr">
        <is>
          <t>Цена в месяц, ₸</t>
        </is>
      </c>
      <c r="C8" s="21" t="inlineStr">
        <is>
          <t>Месяцев</t>
        </is>
      </c>
      <c r="D8" s="21" t="inlineStr">
        <is>
          <t>За год, ₸</t>
        </is>
      </c>
    </row>
    <row r="9">
      <c r="A9" s="34" t="inlineStr">
        <is>
          <t>Indigo Solutions · Айыртау БП (БП-12, БП-13, БП-14) — полная замена, 180 ед.</t>
        </is>
      </c>
      <c r="B9" s="35">
        <f>Данные!$B$37</f>
        <v>618400</v>
      </c>
      <c r="C9" s="35" t="n">
        <v>12</v>
      </c>
      <c r="D9" s="11">
        <f>B9*C9</f>
        <v>7420800</v>
      </c>
    </row>
    <row r="10">
      <c r="A10" s="34" t="inlineStr">
        <is>
          <t>Indigo Solutions · Многоэтажки, площадки Д и Г — полная замена, 166 ед.</t>
        </is>
      </c>
      <c r="B10" s="35">
        <f>Данные!$B$39</f>
        <v>569800</v>
      </c>
      <c r="C10" s="35" t="n">
        <v>12</v>
      </c>
      <c r="D10" s="11">
        <f>B10*C10</f>
        <v>6837600</v>
      </c>
    </row>
    <row r="11">
      <c r="A11" s="34" t="inlineStr">
        <is>
          <t>Indigo Solutions · Площадки А, Б, Е, Ж, В (рем. молод), В — полная замена, 793 ед.</t>
        </is>
      </c>
      <c r="B11" s="35">
        <f>Данные!$B$41</f>
        <v>2599100</v>
      </c>
      <c r="C11" s="35" t="n">
        <v>12</v>
      </c>
      <c r="D11" s="11">
        <f>B11*C11</f>
        <v>31189200</v>
      </c>
    </row>
    <row r="12">
      <c r="A12" s="34" t="inlineStr">
        <is>
          <t>Pest Hunters · 122 объекта, март — ноябрь, оборудование подрядчика</t>
        </is>
      </c>
      <c r="B12" s="35">
        <f>Данные!$B$54</f>
        <v>3172000</v>
      </c>
      <c r="C12" s="35">
        <f>Данные!$B$64</f>
        <v>9</v>
      </c>
      <c r="D12" s="11">
        <f>B12*C12</f>
        <v>28548000</v>
      </c>
    </row>
    <row r="13">
      <c r="A13" s="34" t="inlineStr">
        <is>
          <t>Pest Hunters · 122 объекта, декабрь — февраль, оборудование подрядчика</t>
        </is>
      </c>
      <c r="B13" s="35">
        <f>Данные!$B$55</f>
        <v>2074000</v>
      </c>
      <c r="C13" s="35">
        <f>Данные!$B$65</f>
        <v>3</v>
      </c>
      <c r="D13" s="11">
        <f>B13*C13</f>
        <v>6222000</v>
      </c>
    </row>
    <row r="14">
      <c r="A14" s="34" t="inlineStr">
        <is>
          <t>Штат УКПФ · Приманочные станции 1-го и 2-го контура · разовая закупка</t>
        </is>
      </c>
      <c r="B14" s="35">
        <f>(SUM(Данные!$B$22:$B$29)+SUM(Данные!$C$22:$C$29))*Данные!$B$9</f>
        <v>2715120</v>
      </c>
      <c r="C14" s="35" t="n">
        <v>1</v>
      </c>
      <c r="D14" s="11">
        <f>B14*C14</f>
        <v>2715120</v>
      </c>
    </row>
    <row r="15">
      <c r="A15" s="34" t="inlineStr">
        <is>
          <t>Штат УКПФ · Клеевые станции 3-го контура, тёплый сезон</t>
        </is>
      </c>
      <c r="B15" s="35">
        <f>SUM(Данные!$D$22:$D$29)*Данные!$B$8</f>
        <v>42880</v>
      </c>
      <c r="C15" s="35">
        <f>Данные!$B$14</f>
        <v>7</v>
      </c>
      <c r="D15" s="11">
        <f>B15*C15</f>
        <v>300160</v>
      </c>
    </row>
    <row r="16">
      <c r="A16" s="34" t="inlineStr">
        <is>
          <t>Штат УКПФ · Клеевые станции 3-го контура, зимний сезон — объём вдвое</t>
        </is>
      </c>
      <c r="B16" s="35">
        <f>SUM(Данные!$D$22:$D$29)*2*Данные!$B$8</f>
        <v>85760</v>
      </c>
      <c r="C16" s="35">
        <f>Данные!$B$15</f>
        <v>5</v>
      </c>
      <c r="D16" s="11">
        <f>B16*C16</f>
        <v>428800</v>
      </c>
    </row>
    <row r="17">
      <c r="A17" s="34" t="inlineStr">
        <is>
          <t>Штат УКПФ · Зерноцид, 2-й контур</t>
        </is>
      </c>
      <c r="B17" s="35">
        <f>SUM(Данные!$G$22:$G$29)*Данные!$B$6</f>
        <v>11100</v>
      </c>
      <c r="C17" s="35">
        <f>Данные!$B$14</f>
        <v>7</v>
      </c>
      <c r="D17" s="11">
        <f>B17*C17</f>
        <v>77700</v>
      </c>
    </row>
    <row r="18">
      <c r="A18" s="34" t="inlineStr">
        <is>
          <t>Штат УКПФ · Pest Killer, брикеты</t>
        </is>
      </c>
      <c r="B18" s="35">
        <f>SUM(Данные!$F$22:$F$29)*Данные!$B$7</f>
        <v>61922.5</v>
      </c>
      <c r="C18" s="35">
        <f>Данные!$B$14</f>
        <v>7</v>
      </c>
      <c r="D18" s="11">
        <f>B18*C18</f>
        <v>433457.5</v>
      </c>
    </row>
    <row r="19">
      <c r="A19" s="34" t="inlineStr">
        <is>
          <t>Штат УКПФ · Бутылки, 1-й контур, тёплый сезон</t>
        </is>
      </c>
      <c r="B19" s="35">
        <f>SUM(Данные!$B$22:$B$29)*Данные!$B$10</f>
        <v>10948</v>
      </c>
      <c r="C19" s="35">
        <f>Данные!$B$14</f>
        <v>7</v>
      </c>
      <c r="D19" s="11">
        <f>B19*C19</f>
        <v>76636</v>
      </c>
    </row>
    <row r="20"/>
    <row r="21">
      <c r="A21" s="18" t="inlineStr">
        <is>
          <t>АЛЬТЕРНАТИВНЫЕ ВАРИАНТЫ ИЗ ТЕХ ЖЕ КП</t>
        </is>
      </c>
      <c r="B21" s="19" t="n"/>
      <c r="C21" s="19" t="n"/>
      <c r="D21" s="19" t="n"/>
    </row>
    <row r="22">
      <c r="A22" s="20" t="inlineStr">
        <is>
          <t>Статья</t>
        </is>
      </c>
      <c r="B22" s="21" t="inlineStr">
        <is>
          <t>Цена в месяц, ₸</t>
        </is>
      </c>
      <c r="C22" s="21" t="inlineStr">
        <is>
          <t>Месяцев</t>
        </is>
      </c>
      <c r="D22" s="21" t="inlineStr">
        <is>
          <t>За год, ₸</t>
        </is>
      </c>
    </row>
    <row r="23">
      <c r="A23" s="34" t="inlineStr">
        <is>
          <t>Indigo Solutions · Айыртау БП — частичная замена</t>
        </is>
      </c>
      <c r="B23" s="35">
        <f>Данные!$B$38</f>
        <v>478400</v>
      </c>
      <c r="C23" s="35" t="n">
        <v>12</v>
      </c>
      <c r="D23" s="10">
        <f>B23*C23</f>
        <v>5740800</v>
      </c>
    </row>
    <row r="24">
      <c r="A24" s="34" t="inlineStr">
        <is>
          <t>Indigo Solutions · Многоэтажки Д и Г — частичная замена</t>
        </is>
      </c>
      <c r="B24" s="35">
        <f>Данные!$B$40</f>
        <v>440700</v>
      </c>
      <c r="C24" s="35" t="n">
        <v>12</v>
      </c>
      <c r="D24" s="10">
        <f>B24*C24</f>
        <v>5288400</v>
      </c>
    </row>
    <row r="25">
      <c r="A25" s="34" t="inlineStr">
        <is>
          <t>Indigo Solutions · Площадки А, Б, Е, Ж, В (РМ), В — частичная замена</t>
        </is>
      </c>
      <c r="B25" s="35">
        <f>Данные!$B$42</f>
        <v>2010300</v>
      </c>
      <c r="C25" s="35" t="n">
        <v>12</v>
      </c>
      <c r="D25" s="10">
        <f>B25*C25</f>
        <v>24123600</v>
      </c>
    </row>
    <row r="26">
      <c r="A26" s="34" t="inlineStr">
        <is>
          <t>Pest Hunters · 122 объекта, март — ноябрь, оборудование заказчика</t>
        </is>
      </c>
      <c r="B26" s="35">
        <f>Данные!$B$56</f>
        <v>2806000</v>
      </c>
      <c r="C26" s="35">
        <f>Данные!$B$64</f>
        <v>9</v>
      </c>
      <c r="D26" s="10">
        <f>B26*C26</f>
        <v>25254000</v>
      </c>
    </row>
    <row r="27">
      <c r="A27" s="34" t="inlineStr">
        <is>
          <t>Pest Hunters · 122 объекта, декабрь — февраль, оборудование заказчика</t>
        </is>
      </c>
      <c r="B27" s="35">
        <f>Данные!$B$57</f>
        <v>1830000</v>
      </c>
      <c r="C27" s="35">
        <f>Данные!$B$65</f>
        <v>3</v>
      </c>
      <c r="D27" s="10">
        <f>B27*C27</f>
        <v>5490000</v>
      </c>
    </row>
    <row r="28"/>
    <row r="29">
      <c r="A29" s="18" t="inlineStr">
        <is>
          <t>СПРАВОЧНО: ДЕЗИНСЕКЦИЯ — В СРАВНЕНИЕ НЕ ВХОДИТ</t>
        </is>
      </c>
      <c r="B29" s="19" t="n"/>
      <c r="C29" s="19" t="n"/>
      <c r="D29" s="19" t="n"/>
    </row>
    <row r="30">
      <c r="A30" s="20" t="inlineStr">
        <is>
          <t>Статья</t>
        </is>
      </c>
      <c r="B30" s="21" t="inlineStr">
        <is>
          <t>Цена в месяц, ₸</t>
        </is>
      </c>
      <c r="C30" s="21" t="inlineStr">
        <is>
          <t>Месяцев</t>
        </is>
      </c>
      <c r="D30" s="21" t="inlineStr">
        <is>
          <t>За год, ₸</t>
        </is>
      </c>
    </row>
    <row r="31">
      <c r="A31" s="34" t="inlineStr">
        <is>
          <t>Indigo Solutions · Айыртау БП</t>
        </is>
      </c>
      <c r="B31" s="35">
        <f>Данные!$B$47</f>
        <v>720000</v>
      </c>
      <c r="C31" s="35" t="n">
        <v>12</v>
      </c>
      <c r="D31" s="10">
        <f>B31*C31</f>
        <v>8640000</v>
      </c>
    </row>
    <row r="32">
      <c r="A32" s="34" t="inlineStr">
        <is>
          <t>Indigo Solutions · Многоэтажки Д и Г</t>
        </is>
      </c>
      <c r="B32" s="35">
        <f>Данные!$B$48</f>
        <v>1080000</v>
      </c>
      <c r="C32" s="35" t="n">
        <v>12</v>
      </c>
      <c r="D32" s="10">
        <f>B32*C32</f>
        <v>12960000</v>
      </c>
    </row>
    <row r="33">
      <c r="A33" s="34" t="inlineStr">
        <is>
          <t>Indigo Solutions · Площадки А, Б, Е, Ж, В (РМ), В</t>
        </is>
      </c>
      <c r="B33" s="35">
        <f>Данные!$B$49</f>
        <v>3000000</v>
      </c>
      <c r="C33" s="35" t="n">
        <v>12</v>
      </c>
      <c r="D33" s="10">
        <f>B33*C33</f>
        <v>36000000</v>
      </c>
    </row>
    <row r="34"/>
    <row r="35" ht="26" customHeight="1">
      <c r="A35" s="27" t="inlineStr">
        <is>
          <t>Состав площадок у Indigo и в нашем расчёте описан по-разному: у них шесть напольных площадок плюс «В (рем. молод)», у нас восемь площадок по контурам. Сопоставлять построчно нельзя, только суммарно.</t>
        </is>
      </c>
    </row>
    <row r="36"/>
    <row r="37"/>
    <row r="38">
      <c r="A38" s="18" t="inlineStr">
        <is>
          <t>КОНТУР 1 И КОНТУР 2 ПО ПЛОЩАДКАМ, шт</t>
        </is>
      </c>
      <c r="B38" s="19" t="n"/>
      <c r="C38" s="19" t="n"/>
      <c r="D38" s="19" t="n"/>
    </row>
    <row r="39">
      <c r="A39" s="20" t="inlineStr">
        <is>
          <t>Площадка</t>
        </is>
      </c>
      <c r="B39" s="21" t="inlineStr">
        <is>
          <t>1-й контур</t>
        </is>
      </c>
      <c r="C39" s="21" t="inlineStr">
        <is>
          <t>2-й контур</t>
        </is>
      </c>
    </row>
    <row r="40">
      <c r="A40" s="9" t="inlineStr">
        <is>
          <t>Площадка А</t>
        </is>
      </c>
      <c r="B40" s="36">
        <f>Данные!$B$22</f>
        <v>13</v>
      </c>
      <c r="C40" s="36">
        <f>Данные!$C$22</f>
        <v>147</v>
      </c>
    </row>
    <row r="41">
      <c r="A41" s="9" t="inlineStr">
        <is>
          <t>Площадка Б</t>
        </is>
      </c>
      <c r="B41" s="36">
        <f>Данные!$B$23</f>
        <v>17</v>
      </c>
      <c r="C41" s="36">
        <f>Данные!$C$23</f>
        <v>146</v>
      </c>
    </row>
    <row r="42">
      <c r="A42" s="9" t="inlineStr">
        <is>
          <t>В / Восточка</t>
        </is>
      </c>
      <c r="B42" s="36">
        <f>Данные!$B$24</f>
        <v>50</v>
      </c>
      <c r="C42" s="36">
        <f>Данные!$C$24</f>
        <v>239</v>
      </c>
    </row>
    <row r="43">
      <c r="A43" s="9" t="inlineStr">
        <is>
          <t>Площадка Г</t>
        </is>
      </c>
      <c r="B43" s="36">
        <f>Данные!$B$25</f>
        <v>17</v>
      </c>
      <c r="C43" s="36">
        <f>Данные!$C$25</f>
        <v>88</v>
      </c>
    </row>
    <row r="44">
      <c r="A44" s="9" t="inlineStr">
        <is>
          <t>Площадка Д</t>
        </is>
      </c>
      <c r="B44" s="36">
        <f>Данные!$B$26</f>
        <v>15</v>
      </c>
      <c r="C44" s="36">
        <f>Данные!$C$26</f>
        <v>69</v>
      </c>
    </row>
    <row r="45">
      <c r="A45" s="9" t="inlineStr">
        <is>
          <t>Площадка Е</t>
        </is>
      </c>
      <c r="B45" s="36">
        <f>Данные!$B$27</f>
        <v>13</v>
      </c>
      <c r="C45" s="36">
        <f>Данные!$C$27</f>
        <v>147</v>
      </c>
    </row>
    <row r="46">
      <c r="A46" s="9" t="inlineStr">
        <is>
          <t>Площадка Ж</t>
        </is>
      </c>
      <c r="B46" s="36">
        <f>Данные!$B$28</f>
        <v>17</v>
      </c>
      <c r="C46" s="36">
        <f>Данные!$C$28</f>
        <v>73</v>
      </c>
    </row>
    <row r="47">
      <c r="A47" s="9" t="inlineStr">
        <is>
          <t>Айыртау</t>
        </is>
      </c>
      <c r="B47" s="36">
        <f>Данные!$B$29</f>
        <v>19</v>
      </c>
      <c r="C47" s="36">
        <f>Данные!$C$29</f>
        <v>187</v>
      </c>
    </row>
    <row r="48">
      <c r="A48" s="37" t="inlineStr">
        <is>
          <t>Итого по площадкам</t>
        </is>
      </c>
      <c r="B48" s="38">
        <f>SUM(B40:B47)</f>
        <v>161</v>
      </c>
      <c r="C48" s="38">
        <f>SUM(C40:C47)</f>
        <v>1096</v>
      </c>
    </row>
    <row r="49"/>
    <row r="50">
      <c r="A50" s="18" t="inlineStr">
        <is>
          <t>ШТАТ УКПФ ПО БРОЙЛЕРНЫМ ПЛОЩАДКАМ — ДЕТАЛЬНАЯ РАСШИФРОВКА</t>
        </is>
      </c>
      <c r="B50" s="19" t="n"/>
      <c r="C50" s="19" t="n"/>
      <c r="D50" s="19" t="n"/>
    </row>
    <row r="51">
      <c r="A51" s="23" t="inlineStr">
        <is>
          <t>Статья</t>
        </is>
      </c>
      <c r="B51" s="6" t="inlineStr">
        <is>
          <t>₸/мес (разово — цена за шт)</t>
        </is>
      </c>
      <c r="C51" s="6" t="inlineStr">
        <is>
          <t>Мес.</t>
        </is>
      </c>
      <c r="D51" s="6" t="inlineStr">
        <is>
          <t>За год / разово, ₸</t>
        </is>
      </c>
    </row>
    <row r="52">
      <c r="A52" s="9" t="inlineStr">
        <is>
          <t>Приманочные станции 1-го контура · разовая закупка</t>
        </is>
      </c>
      <c r="B52" s="10">
        <f>B48*Данные!$B$9</f>
        <v>347760</v>
      </c>
      <c r="C52" s="12" t="inlineStr">
        <is>
          <t>разово</t>
        </is>
      </c>
      <c r="D52" s="10">
        <f>B48*Данные!$B$9</f>
        <v>347760</v>
      </c>
    </row>
    <row r="53">
      <c r="A53" s="9" t="inlineStr">
        <is>
          <t>Приманочные станции 2-го контура · разовая закупка</t>
        </is>
      </c>
      <c r="B53" s="10">
        <f>C48*Данные!$B$9</f>
        <v>2367360</v>
      </c>
      <c r="C53" s="12" t="inlineStr">
        <is>
          <t>разово</t>
        </is>
      </c>
      <c r="D53" s="10">
        <f>C48*Данные!$B$9</f>
        <v>2367360</v>
      </c>
    </row>
    <row r="54">
      <c r="A54" s="9" t="inlineStr">
        <is>
          <t>Клеевые станции 3-го контура, тёплый сезон</t>
        </is>
      </c>
      <c r="B54" s="10">
        <f>SUM(Данные!$D$22:$D$29)*Данные!$B$8</f>
        <v>42880</v>
      </c>
      <c r="C54" s="12">
        <f>Данные!$B$14</f>
        <v>7</v>
      </c>
      <c r="D54" s="10">
        <f>SUM(Данные!$D$22:$D$29)*Данные!$B$8*Данные!$B$14</f>
        <v>300160</v>
      </c>
    </row>
    <row r="55">
      <c r="A55" s="9" t="inlineStr">
        <is>
          <t>Клеевые станции 3-го контура, зимний сезон — объём вдвое</t>
        </is>
      </c>
      <c r="B55" s="10">
        <f>SUM(Данные!$D$22:$D$29)*2*Данные!$B$8</f>
        <v>85760</v>
      </c>
      <c r="C55" s="12">
        <f>Данные!$B$15</f>
        <v>5</v>
      </c>
      <c r="D55" s="10">
        <f>SUM(Данные!$D$22:$D$29)*2*Данные!$B$8*Данные!$B$15</f>
        <v>428800</v>
      </c>
    </row>
    <row r="56">
      <c r="A56" s="9" t="inlineStr">
        <is>
          <t>Зерноцид, 2-й контур</t>
        </is>
      </c>
      <c r="B56" s="10">
        <f>SUM(Данные!$G$22:$G$29)*Данные!$B$6</f>
        <v>11100</v>
      </c>
      <c r="C56" s="12">
        <f>Данные!$B$14</f>
        <v>7</v>
      </c>
      <c r="D56" s="10">
        <f>SUM(Данные!$G$22:$G$29)*Данные!$B$6*Данные!$B$14</f>
        <v>77700</v>
      </c>
    </row>
    <row r="57">
      <c r="A57" s="9" t="inlineStr">
        <is>
          <t>Pest Killer, брикеты</t>
        </is>
      </c>
      <c r="B57" s="10">
        <f>SUM(Данные!$F$22:$F$29)*Данные!$B$7</f>
        <v>61922.5</v>
      </c>
      <c r="C57" s="12">
        <f>Данные!$B$14</f>
        <v>7</v>
      </c>
      <c r="D57" s="10">
        <f>SUM(Данные!$F$22:$F$29)*Данные!$B$7*Данные!$B$14</f>
        <v>433457.5</v>
      </c>
    </row>
    <row r="58">
      <c r="A58" s="9" t="inlineStr">
        <is>
          <t>Бутылки, 1-й контур, тёплый сезон</t>
        </is>
      </c>
      <c r="B58" s="10">
        <f>B48*Данные!$B$10</f>
        <v>10948</v>
      </c>
      <c r="C58" s="12">
        <f>Данные!$B$14</f>
        <v>7</v>
      </c>
      <c r="D58" s="10">
        <f>B48*Данные!$B$10*Данные!$B$14</f>
        <v>76636</v>
      </c>
    </row>
    <row r="59">
      <c r="A59" s="14" t="inlineStr">
        <is>
          <t>ИТОГО МАТЕРИАЛЫ ПО ПЛОЩАДКАМ, ПЕРВЫЙ ГОД</t>
        </is>
      </c>
      <c r="B59" s="26" t="n"/>
      <c r="C59" s="26" t="n"/>
      <c r="D59" s="17">
        <f>SUM(D52:D58)</f>
        <v>4031873.5</v>
      </c>
    </row>
    <row r="60"/>
    <row r="61" ht="26" customHeight="1">
      <c r="A61" s="27" t="inlineStr">
        <is>
          <t>Приманочные станции 1-го и 2-го контура показаны раздельно: цена одна и та же (2 160 ₸/шт, разовая закупка), но количество точек по контурам разное — см. таблицу выше.</t>
        </is>
      </c>
    </row>
  </sheetData>
  <mergeCells count="3">
    <mergeCell ref="A35:D35"/>
    <mergeCell ref="A61:D6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2" customWidth="1" min="3" max="3"/>
    <col width="20" customWidth="1" min="4" max="4"/>
  </cols>
  <sheetData>
    <row r="1">
      <c r="A1" s="1" t="inlineStr">
        <is>
          <t>Инкубаторий</t>
        </is>
      </c>
    </row>
    <row r="2" ht="26" customHeight="1">
      <c r="A2" s="27" t="inlineStr">
        <is>
          <t>Indigo — КП от 19.08.2026, 48 ед. оборудования, цена с НДС. Pest Hunters — КП №26/75, 2 обхода в месяц, цена без НДС; по их расчёту 52 приманочных контейнера и 60 живоловок.</t>
        </is>
      </c>
    </row>
    <row r="3"/>
    <row r="4">
      <c r="A4" s="31" t="inlineStr">
        <is>
          <t>ЗА ГОД, ₸</t>
        </is>
      </c>
      <c r="B4" s="32" t="inlineStr">
        <is>
          <t>Indigo Solutions</t>
        </is>
      </c>
      <c r="C4" s="32" t="inlineStr">
        <is>
          <t>Pest Hunters</t>
        </is>
      </c>
      <c r="D4" s="32" t="inlineStr">
        <is>
          <t>Штат УКПФ</t>
        </is>
      </c>
    </row>
    <row r="5">
      <c r="B5" s="33">
        <f>D9</f>
        <v>1514400</v>
      </c>
      <c r="C5" s="33">
        <f>D10</f>
        <v>1440000</v>
      </c>
      <c r="D5" s="33">
        <f>D11+D12+D13+D14+D15+D16</f>
        <v>184205.5</v>
      </c>
    </row>
    <row r="6"/>
    <row r="7">
      <c r="A7" s="18" t="inlineStr">
        <is>
          <t>ДЕРАТИЗАЦИЯ — ЧТО ВХОДИТ В СРАВНЕНИЕ</t>
        </is>
      </c>
      <c r="B7" s="19" t="n"/>
      <c r="C7" s="19" t="n"/>
      <c r="D7" s="19" t="n"/>
    </row>
    <row r="8">
      <c r="A8" s="20" t="inlineStr">
        <is>
          <t>Статья</t>
        </is>
      </c>
      <c r="B8" s="21" t="inlineStr">
        <is>
          <t>Цена в месяц, ₸</t>
        </is>
      </c>
      <c r="C8" s="21" t="inlineStr">
        <is>
          <t>Месяцев</t>
        </is>
      </c>
      <c r="D8" s="21" t="inlineStr">
        <is>
          <t>За год, ₸</t>
        </is>
      </c>
    </row>
    <row r="9">
      <c r="A9" s="34" t="inlineStr">
        <is>
          <t>Indigo Solutions · полная замена оборудования, 48 ед.</t>
        </is>
      </c>
      <c r="B9" s="35">
        <f>Данные!$B$43</f>
        <v>126200</v>
      </c>
      <c r="C9" s="35" t="n">
        <v>12</v>
      </c>
      <c r="D9" s="11">
        <f>B9*C9</f>
        <v>1514400</v>
      </c>
    </row>
    <row r="10">
      <c r="A10" s="34" t="inlineStr">
        <is>
          <t>Pest Hunters · КП №26/75, 2 обхода в месяц, без НДС</t>
        </is>
      </c>
      <c r="B10" s="35">
        <f>Данные!$B$59</f>
        <v>120000</v>
      </c>
      <c r="C10" s="35" t="n">
        <v>12</v>
      </c>
      <c r="D10" s="11">
        <f>B10*C10</f>
        <v>1440000</v>
      </c>
    </row>
    <row r="11">
      <c r="A11" s="34" t="inlineStr">
        <is>
          <t>Штат УКПФ · Приманочные станции 1-го и 2-го контура · разовая закупка</t>
        </is>
      </c>
      <c r="B11" s="35">
        <f>(Данные!$B$20+Данные!$C$20)*Данные!$B$9</f>
        <v>112320</v>
      </c>
      <c r="C11" s="35" t="n">
        <v>1</v>
      </c>
      <c r="D11" s="11">
        <f>B11*C11</f>
        <v>112320</v>
      </c>
    </row>
    <row r="12">
      <c r="A12" s="34" t="inlineStr">
        <is>
          <t>Штат УКПФ · Клеевые станции 3-го контура, тёплый сезон</t>
        </is>
      </c>
      <c r="B12" s="35">
        <f>Данные!$D$20*Данные!$B$8</f>
        <v>1920</v>
      </c>
      <c r="C12" s="35">
        <f>Данные!$B$14</f>
        <v>7</v>
      </c>
      <c r="D12" s="11">
        <f>B12*C12</f>
        <v>13440</v>
      </c>
    </row>
    <row r="13">
      <c r="A13" s="34" t="inlineStr">
        <is>
          <t>Штат УКПФ · Клеевые станции 3-го контура, зимний сезон — объём вдвое</t>
        </is>
      </c>
      <c r="B13" s="35">
        <f>Данные!$D$20*2*Данные!$B$8</f>
        <v>3840</v>
      </c>
      <c r="C13" s="35">
        <f>Данные!$B$15</f>
        <v>5</v>
      </c>
      <c r="D13" s="11">
        <f>B13*C13</f>
        <v>19200</v>
      </c>
    </row>
    <row r="14">
      <c r="A14" s="34" t="inlineStr">
        <is>
          <t>Штат УКПФ · Зерноцид, 2-й контур</t>
        </is>
      </c>
      <c r="B14" s="35">
        <f>Данные!$G$20*Данные!$B$6</f>
        <v>740</v>
      </c>
      <c r="C14" s="35">
        <f>Данные!$B$14</f>
        <v>7</v>
      </c>
      <c r="D14" s="11">
        <f>B14*C14</f>
        <v>5180</v>
      </c>
    </row>
    <row r="15">
      <c r="A15" s="34" t="inlineStr">
        <is>
          <t>Штат УКПФ · Pest Killer, брикеты</t>
        </is>
      </c>
      <c r="B15" s="35">
        <f>Данные!$F$20*Данные!$B$7</f>
        <v>3642.5</v>
      </c>
      <c r="C15" s="35">
        <f>Данные!$B$14</f>
        <v>7</v>
      </c>
      <c r="D15" s="11">
        <f>B15*C15</f>
        <v>25497.5</v>
      </c>
    </row>
    <row r="16">
      <c r="A16" s="34" t="inlineStr">
        <is>
          <t>Штат УКПФ · Бутылки, 1-й контур, тёплый сезон</t>
        </is>
      </c>
      <c r="B16" s="35">
        <f>Данные!$B$20*Данные!$B$10</f>
        <v>1224</v>
      </c>
      <c r="C16" s="35">
        <f>Данные!$B$14</f>
        <v>7</v>
      </c>
      <c r="D16" s="11">
        <f>B16*C16</f>
        <v>8568</v>
      </c>
    </row>
    <row r="17"/>
    <row r="18">
      <c r="A18" s="18" t="inlineStr">
        <is>
          <t>АЛЬТЕРНАТИВНЫЕ ВАРИАНТЫ И ПРИВЕДЕНИЕ К НДС</t>
        </is>
      </c>
      <c r="B18" s="19" t="n"/>
      <c r="C18" s="19" t="n"/>
      <c r="D18" s="19" t="n"/>
    </row>
    <row r="19">
      <c r="A19" s="20" t="inlineStr">
        <is>
          <t>Статья</t>
        </is>
      </c>
      <c r="B19" s="21" t="inlineStr">
        <is>
          <t>Цена в месяц, ₸</t>
        </is>
      </c>
      <c r="C19" s="21" t="inlineStr">
        <is>
          <t>Месяцев</t>
        </is>
      </c>
      <c r="D19" s="21" t="inlineStr">
        <is>
          <t>За год, ₸</t>
        </is>
      </c>
    </row>
    <row r="20">
      <c r="A20" s="34" t="inlineStr">
        <is>
          <t>Indigo Solutions · частичная замена оборудования</t>
        </is>
      </c>
      <c r="B20" s="35">
        <f>Данные!$B$44</f>
        <v>106800</v>
      </c>
      <c r="C20" s="35" t="n">
        <v>12</v>
      </c>
      <c r="D20" s="10">
        <f>B20*C20</f>
        <v>1281600</v>
      </c>
    </row>
    <row r="21">
      <c r="A21" s="34" t="inlineStr">
        <is>
          <t>Pest Hunters · та же цена, приведённая к НДС для сопоставимости с Indigo</t>
        </is>
      </c>
      <c r="B21" s="35">
        <f>Данные!$B$59*(1+Данные!$B$63)</f>
        <v>139200</v>
      </c>
      <c r="C21" s="35" t="n">
        <v>12</v>
      </c>
      <c r="D21" s="10">
        <f>B21*C21</f>
        <v>1670400</v>
      </c>
    </row>
    <row r="22"/>
    <row r="23">
      <c r="A23" s="18" t="inlineStr">
        <is>
          <t>СПРАВОЧНО: ДЕЗИНСЕКЦИЯ — В СРАВНЕНИЕ НЕ ВХОДИТ</t>
        </is>
      </c>
      <c r="B23" s="19" t="n"/>
      <c r="C23" s="19" t="n"/>
      <c r="D23" s="19" t="n"/>
    </row>
    <row r="24">
      <c r="A24" s="20" t="inlineStr">
        <is>
          <t>Статья</t>
        </is>
      </c>
      <c r="B24" s="21" t="inlineStr">
        <is>
          <t>Цена в месяц, ₸</t>
        </is>
      </c>
      <c r="C24" s="21" t="inlineStr">
        <is>
          <t>Месяцев</t>
        </is>
      </c>
      <c r="D24" s="21" t="inlineStr">
        <is>
          <t>За год, ₸</t>
        </is>
      </c>
    </row>
    <row r="25">
      <c r="A25" s="34" t="inlineStr">
        <is>
          <t>Indigo Solutions · дезинсекция</t>
        </is>
      </c>
      <c r="B25" s="35">
        <f>Данные!$B$50</f>
        <v>100800</v>
      </c>
      <c r="C25" s="35" t="n">
        <v>12</v>
      </c>
      <c r="D25" s="10">
        <f>B25*C25</f>
        <v>1209600</v>
      </c>
    </row>
    <row r="26">
      <c r="A26" s="34" t="inlineStr">
        <is>
          <t>Pest Hunters · дезинсекция, КП №26/75, без НДС</t>
        </is>
      </c>
      <c r="B26" s="35">
        <f>Данные!$B$60</f>
        <v>100000</v>
      </c>
      <c r="C26" s="35" t="n">
        <v>12</v>
      </c>
      <c r="D26" s="10">
        <f>B26*C26</f>
        <v>1200000</v>
      </c>
    </row>
    <row r="27"/>
    <row r="28" ht="26" customHeight="1">
      <c r="A28" s="27" t="inlineStr">
        <is>
          <t>Внимание: цены несопоставимы напрямую. У Indigo 126 200 ₸ уже с НДС, у Pest Hunters 120 000 ₸ без НДС. С НДС 16 % Pest Hunters даёт 139 200 ₸/мес (1 670 400 ₸/год) — это дороже Indigo. Сравнивать нужно строку «приведённая к НДС».</t>
        </is>
      </c>
    </row>
    <row r="29" ht="26" customHeight="1">
      <c r="A29" s="27" t="inlineStr">
        <is>
          <t>Нормы штата по инкубаторию: 18 точек 1-го контура, 34 второго, 12 клеевых третьего; 1 кг брикетов Pest Killer и 1 кг Зерноцида на обработку.</t>
        </is>
      </c>
    </row>
  </sheetData>
  <mergeCells count="3">
    <mergeCell ref="A29:D29"/>
    <mergeCell ref="A28:D28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2" customWidth="1" min="3" max="3"/>
    <col width="20" customWidth="1" min="4" max="4"/>
  </cols>
  <sheetData>
    <row r="1">
      <c r="A1" s="1" t="inlineStr">
        <is>
          <t>ЗПП</t>
        </is>
      </c>
    </row>
    <row r="2" ht="26" customHeight="1">
      <c r="A2" s="27" t="inlineStr">
        <is>
          <t>Завод по переработке птицы, 8 309 м². У Pest Hunters — подписанный договор №88, цена включает дезинсекцию. У Indigo — предложение из КП от 19.08.2026.</t>
        </is>
      </c>
    </row>
    <row r="3"/>
    <row r="4">
      <c r="A4" s="31" t="inlineStr">
        <is>
          <t>ЗА ГОД, ₸</t>
        </is>
      </c>
      <c r="B4" s="32" t="inlineStr">
        <is>
          <t>Indigo Solutions</t>
        </is>
      </c>
      <c r="C4" s="32" t="inlineStr">
        <is>
          <t>Pest Hunters</t>
        </is>
      </c>
      <c r="D4" s="32" t="inlineStr">
        <is>
          <t>Штат УКПФ</t>
        </is>
      </c>
    </row>
    <row r="5">
      <c r="B5" s="33">
        <f>D9</f>
        <v>1514400</v>
      </c>
      <c r="C5" s="33">
        <f>D10</f>
        <v>2160000</v>
      </c>
      <c r="D5" s="33">
        <f>D11</f>
        <v>0</v>
      </c>
    </row>
    <row r="6"/>
    <row r="7">
      <c r="A7" s="18" t="inlineStr">
        <is>
          <t>ДЕРАТИЗАЦИЯ — ЧТО ВХОДИТ В СРАВНЕНИЕ</t>
        </is>
      </c>
      <c r="B7" s="19" t="n"/>
      <c r="C7" s="19" t="n"/>
      <c r="D7" s="19" t="n"/>
    </row>
    <row r="8">
      <c r="A8" s="20" t="inlineStr">
        <is>
          <t>Статья</t>
        </is>
      </c>
      <c r="B8" s="21" t="inlineStr">
        <is>
          <t>Цена в месяц, ₸</t>
        </is>
      </c>
      <c r="C8" s="21" t="inlineStr">
        <is>
          <t>Месяцев</t>
        </is>
      </c>
      <c r="D8" s="21" t="inlineStr">
        <is>
          <t>За год, ₸</t>
        </is>
      </c>
    </row>
    <row r="9">
      <c r="A9" s="34" t="inlineStr">
        <is>
          <t>Indigo Solutions · полная замена оборудования</t>
        </is>
      </c>
      <c r="B9" s="35">
        <f>Данные!$B$45</f>
        <v>126200</v>
      </c>
      <c r="C9" s="35" t="n">
        <v>12</v>
      </c>
      <c r="D9" s="11">
        <f>B9*C9</f>
        <v>1514400</v>
      </c>
    </row>
    <row r="10">
      <c r="A10" s="34" t="inlineStr">
        <is>
          <t>Pest Hunters · договор №88 от 01.01.2026: дератизация и дезинсекция вместе</t>
        </is>
      </c>
      <c r="B10" s="35">
        <f>Данные!$B$58</f>
        <v>180000</v>
      </c>
      <c r="C10" s="35" t="n">
        <v>12</v>
      </c>
      <c r="D10" s="11">
        <f>B10*C10</f>
        <v>2160000</v>
      </c>
    </row>
    <row r="11">
      <c r="A11" s="34" t="inlineStr">
        <is>
          <t>Штат УКПФ · нормы расхода по ЗПП не заданы</t>
        </is>
      </c>
      <c r="B11" s="35" t="n">
        <v>0</v>
      </c>
      <c r="C11" s="35" t="n">
        <v>0</v>
      </c>
      <c r="D11" s="11">
        <f>B11*C11</f>
        <v>0</v>
      </c>
    </row>
    <row r="12"/>
    <row r="13">
      <c r="A13" s="18" t="inlineStr">
        <is>
          <t>АЛЬТЕРНАТИВНЫЙ ВАРИАНТ INDIGO</t>
        </is>
      </c>
      <c r="B13" s="19" t="n"/>
      <c r="C13" s="19" t="n"/>
      <c r="D13" s="19" t="n"/>
    </row>
    <row r="14">
      <c r="A14" s="20" t="inlineStr">
        <is>
          <t>Статья</t>
        </is>
      </c>
      <c r="B14" s="21" t="inlineStr">
        <is>
          <t>Цена в месяц, ₸</t>
        </is>
      </c>
      <c r="C14" s="21" t="inlineStr">
        <is>
          <t>Месяцев</t>
        </is>
      </c>
      <c r="D14" s="21" t="inlineStr">
        <is>
          <t>За год, ₸</t>
        </is>
      </c>
    </row>
    <row r="15">
      <c r="A15" s="34" t="inlineStr">
        <is>
          <t>Indigo Solutions · частичная замена оборудования</t>
        </is>
      </c>
      <c r="B15" s="35">
        <f>Данные!$B$46</f>
        <v>106800</v>
      </c>
      <c r="C15" s="35" t="n">
        <v>12</v>
      </c>
      <c r="D15" s="10">
        <f>B15*C15</f>
        <v>1281600</v>
      </c>
    </row>
    <row r="16"/>
    <row r="17">
      <c r="A17" s="18" t="inlineStr">
        <is>
          <t>СПРАВОЧНО: ДЕЗИНСЕКЦИЯ — В СРАВНЕНИЕ НЕ ВХОДИТ</t>
        </is>
      </c>
      <c r="B17" s="19" t="n"/>
      <c r="C17" s="19" t="n"/>
      <c r="D17" s="19" t="n"/>
    </row>
    <row r="18">
      <c r="A18" s="20" t="inlineStr">
        <is>
          <t>Статья</t>
        </is>
      </c>
      <c r="B18" s="21" t="inlineStr">
        <is>
          <t>Цена в месяц, ₸</t>
        </is>
      </c>
      <c r="C18" s="21" t="inlineStr">
        <is>
          <t>Месяцев</t>
        </is>
      </c>
      <c r="D18" s="21" t="inlineStr">
        <is>
          <t>За год, ₸</t>
        </is>
      </c>
    </row>
    <row r="19">
      <c r="A19" s="34" t="inlineStr">
        <is>
          <t>Indigo Solutions · дезинсекция</t>
        </is>
      </c>
      <c r="B19" s="35">
        <f>Данные!$B$51</f>
        <v>160800</v>
      </c>
      <c r="C19" s="35" t="n">
        <v>12</v>
      </c>
      <c r="D19" s="10">
        <f>B19*C19</f>
        <v>1929600</v>
      </c>
    </row>
    <row r="20"/>
    <row r="21" ht="26" customHeight="1">
      <c r="A21" s="27" t="inlineStr">
        <is>
          <t>Строки не полностью сопоставимы: у Pest Hunters 180 000 ₸ включают и дератизацию, и дезинсекцию, у Indigo эти услуги разделены — 126 200 ₸ дератизация и 160 800 ₸ дезинсекция.</t>
        </is>
      </c>
    </row>
    <row r="22" ht="26" customHeight="1">
      <c r="A22" s="27" t="inlineStr">
        <is>
          <t>По штату УКПФ нормы расхода на ЗПП не заданы, поэтому в расчёте ноль.</t>
        </is>
      </c>
    </row>
  </sheetData>
  <mergeCells count="3">
    <mergeCell ref="A22:D22"/>
    <mergeCell ref="A21:D2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2" customWidth="1" min="3" max="3"/>
    <col width="20" customWidth="1" min="4" max="4"/>
  </cols>
  <sheetData>
    <row r="1">
      <c r="A1" s="1" t="inlineStr">
        <is>
          <t>Склад ТМЦ</t>
        </is>
      </c>
    </row>
    <row r="2" ht="26" customHeight="1">
      <c r="A2" s="27" t="inlineStr">
        <is>
          <t>Pest Hunters — КП №26/75 на 2026–2027: дератизация и дезинсекция вынесены отдельными строками, 2 обхода в месяц, цены без НДС. Предложений от Indigo по этому объекту нет.</t>
        </is>
      </c>
    </row>
    <row r="3"/>
    <row r="4">
      <c r="A4" s="31" t="inlineStr">
        <is>
          <t>ЗА ГОД, ₸</t>
        </is>
      </c>
      <c r="B4" s="32" t="inlineStr">
        <is>
          <t>Indigo Solutions</t>
        </is>
      </c>
      <c r="C4" s="32" t="inlineStr">
        <is>
          <t>Pest Hunters</t>
        </is>
      </c>
      <c r="D4" s="32" t="inlineStr">
        <is>
          <t>Штат УКПФ</t>
        </is>
      </c>
    </row>
    <row r="5">
      <c r="B5" s="33">
        <f>D9</f>
        <v>0</v>
      </c>
      <c r="C5" s="33">
        <f>D10</f>
        <v>480000</v>
      </c>
      <c r="D5" s="33">
        <f>D11</f>
        <v>0</v>
      </c>
    </row>
    <row r="6"/>
    <row r="7">
      <c r="A7" s="18" t="inlineStr">
        <is>
          <t>ДЕРАТИЗАЦИЯ — ЧТО ВХОДИТ В СРАВНЕНИЕ</t>
        </is>
      </c>
      <c r="B7" s="19" t="n"/>
      <c r="C7" s="19" t="n"/>
      <c r="D7" s="19" t="n"/>
    </row>
    <row r="8">
      <c r="A8" s="20" t="inlineStr">
        <is>
          <t>Статья</t>
        </is>
      </c>
      <c r="B8" s="21" t="inlineStr">
        <is>
          <t>Цена в месяц, ₸</t>
        </is>
      </c>
      <c r="C8" s="21" t="inlineStr">
        <is>
          <t>Месяцев</t>
        </is>
      </c>
      <c r="D8" s="21" t="inlineStr">
        <is>
          <t>За год, ₸</t>
        </is>
      </c>
    </row>
    <row r="9">
      <c r="A9" s="34" t="inlineStr">
        <is>
          <t>Indigo Solutions</t>
        </is>
      </c>
      <c r="B9" s="35" t="n">
        <v>0</v>
      </c>
      <c r="C9" s="35" t="n">
        <v>0</v>
      </c>
      <c r="D9" s="11">
        <f>B9*C9</f>
        <v>0</v>
      </c>
    </row>
    <row r="10">
      <c r="A10" s="34" t="inlineStr">
        <is>
          <t>Pest Hunters · КП №26/75, только дератизация, 2 обхода в месяц</t>
        </is>
      </c>
      <c r="B10" s="35">
        <f>Данные!$B$61</f>
        <v>40000</v>
      </c>
      <c r="C10" s="35" t="n">
        <v>12</v>
      </c>
      <c r="D10" s="11">
        <f>B10*C10</f>
        <v>480000</v>
      </c>
    </row>
    <row r="11">
      <c r="A11" s="34" t="inlineStr">
        <is>
          <t>Штат УКПФ · нормы расхода по складу не заданы</t>
        </is>
      </c>
      <c r="B11" s="35" t="n">
        <v>0</v>
      </c>
      <c r="C11" s="35" t="n">
        <v>0</v>
      </c>
      <c r="D11" s="11">
        <f>B11*C11</f>
        <v>0</v>
      </c>
    </row>
    <row r="12"/>
    <row r="13">
      <c r="A13" s="18" t="inlineStr">
        <is>
          <t>СПРАВОЧНО: ДЕЗИНСЕКЦИЯ — В СРАВНЕНИЕ НЕ ВХОДИТ</t>
        </is>
      </c>
      <c r="B13" s="19" t="n"/>
      <c r="C13" s="19" t="n"/>
      <c r="D13" s="19" t="n"/>
    </row>
    <row r="14">
      <c r="A14" s="20" t="inlineStr">
        <is>
          <t>Статья</t>
        </is>
      </c>
      <c r="B14" s="21" t="inlineStr">
        <is>
          <t>Цена в месяц, ₸</t>
        </is>
      </c>
      <c r="C14" s="21" t="inlineStr">
        <is>
          <t>Месяцев</t>
        </is>
      </c>
      <c r="D14" s="21" t="inlineStr">
        <is>
          <t>За год, ₸</t>
        </is>
      </c>
    </row>
    <row r="15">
      <c r="A15" s="34" t="inlineStr">
        <is>
          <t>Pest Hunters · дезинсекция, КП №26/75</t>
        </is>
      </c>
      <c r="B15" s="35">
        <f>Данные!$B$62</f>
        <v>40000</v>
      </c>
      <c r="C15" s="35" t="n">
        <v>12</v>
      </c>
      <c r="D15" s="10">
        <f>B15*C15</f>
        <v>480000</v>
      </c>
    </row>
    <row r="16"/>
    <row r="17">
      <c r="A17" s="18" t="inlineStr">
        <is>
          <t>СПРАВОЧНО: ДЕЙСТВУЮЩИЙ ДОГОВОР №921</t>
        </is>
      </c>
      <c r="B17" s="19" t="n"/>
      <c r="C17" s="19" t="n"/>
      <c r="D17" s="19" t="n"/>
    </row>
    <row r="18">
      <c r="A18" s="20" t="inlineStr">
        <is>
          <t>Статья</t>
        </is>
      </c>
      <c r="B18" s="21" t="inlineStr">
        <is>
          <t>Цена в месяц, ₸</t>
        </is>
      </c>
      <c r="C18" s="21" t="inlineStr">
        <is>
          <t>Месяцев</t>
        </is>
      </c>
      <c r="D18" s="21" t="inlineStr">
        <is>
          <t>За год, ₸</t>
        </is>
      </c>
    </row>
    <row r="19">
      <c r="A19" s="34" t="inlineStr">
        <is>
          <t>Pest Hunters · договор №921 от 01.04.2026: дератизация и дезинсекция одной суммой, 1 обход в месяц, апрель — декабрь</t>
        </is>
      </c>
      <c r="B19" s="35" t="n">
        <v>80000</v>
      </c>
      <c r="C19" s="35">
        <f>Данные!$B$66</f>
        <v>9</v>
      </c>
      <c r="D19" s="10">
        <f>B19*C19</f>
        <v>720000</v>
      </c>
    </row>
    <row r="20"/>
    <row r="21" ht="26" customHeight="1">
      <c r="A21" s="27" t="inlineStr">
        <is>
          <t>Раньше по складу в сравнение шли 80 000 ₸/мес из договора №921, но эта сумма включает и дезинсекцию. В КП №26/75 услуги разделены: дератизация 40 000 ₸/мес — только она и участвует в сравнении.</t>
        </is>
      </c>
    </row>
    <row r="22" ht="26" customHeight="1">
      <c r="A22" s="27" t="inlineStr">
        <is>
          <t>КП №26/75 при той же общей сумме 80 000 ₸/мес даёт 2 обхода в месяц вместо одного по действующему договору.</t>
        </is>
      </c>
    </row>
  </sheetData>
  <mergeCells count="3">
    <mergeCell ref="A22:D22"/>
    <mergeCell ref="A21:D2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2" customWidth="1" min="3" max="3"/>
    <col width="20" customWidth="1" min="4" max="4"/>
  </cols>
  <sheetData>
    <row r="1">
      <c r="A1" s="1" t="inlineStr">
        <is>
          <t>АБК</t>
        </is>
      </c>
    </row>
    <row r="2" ht="26" customHeight="1">
      <c r="A2" s="27" t="inlineStr">
        <is>
          <t>Административно-бытовые корпуса на одиннадцати площадках. Ни у Indigo, ни у Pest Hunters отдельной строки по АБК нет.</t>
        </is>
      </c>
    </row>
    <row r="3"/>
    <row r="4">
      <c r="A4" s="31" t="inlineStr">
        <is>
          <t>ЗА ГОД, ₸</t>
        </is>
      </c>
      <c r="B4" s="32" t="inlineStr">
        <is>
          <t>Indigo Solutions</t>
        </is>
      </c>
      <c r="C4" s="32" t="inlineStr">
        <is>
          <t>Pest Hunters</t>
        </is>
      </c>
      <c r="D4" s="32" t="inlineStr">
        <is>
          <t>Штат УКПФ</t>
        </is>
      </c>
    </row>
    <row r="5">
      <c r="B5" s="33">
        <f>D9</f>
        <v>0</v>
      </c>
      <c r="C5" s="33">
        <f>D10</f>
        <v>0</v>
      </c>
      <c r="D5" s="33">
        <f>D11+D12+D13+D14+D15+D16</f>
        <v>288746.75</v>
      </c>
    </row>
    <row r="6"/>
    <row r="7">
      <c r="A7" s="18" t="inlineStr">
        <is>
          <t>ДЕРАТИЗАЦИЯ — ЧТО ВХОДИТ В СРАВНЕНИЕ</t>
        </is>
      </c>
      <c r="B7" s="19" t="n"/>
      <c r="C7" s="19" t="n"/>
      <c r="D7" s="19" t="n"/>
    </row>
    <row r="8">
      <c r="A8" s="20" t="inlineStr">
        <is>
          <t>Статья</t>
        </is>
      </c>
      <c r="B8" s="21" t="inlineStr">
        <is>
          <t>Цена в месяц, ₸</t>
        </is>
      </c>
      <c r="C8" s="21" t="inlineStr">
        <is>
          <t>Месяцев</t>
        </is>
      </c>
      <c r="D8" s="21" t="inlineStr">
        <is>
          <t>За год, ₸</t>
        </is>
      </c>
    </row>
    <row r="9">
      <c r="A9" s="34" t="inlineStr">
        <is>
          <t>Indigo Solutions</t>
        </is>
      </c>
      <c r="B9" s="35" t="n">
        <v>0</v>
      </c>
      <c r="C9" s="35" t="n">
        <v>0</v>
      </c>
      <c r="D9" s="11">
        <f>B9*C9</f>
        <v>0</v>
      </c>
    </row>
    <row r="10">
      <c r="A10" s="34" t="inlineStr">
        <is>
          <t>Pest Hunters</t>
        </is>
      </c>
      <c r="B10" s="35" t="n">
        <v>0</v>
      </c>
      <c r="C10" s="35" t="n">
        <v>0</v>
      </c>
      <c r="D10" s="11">
        <f>B10*C10</f>
        <v>0</v>
      </c>
    </row>
    <row r="11">
      <c r="A11" s="34" t="inlineStr">
        <is>
          <t>Штат УКПФ · Приманочные станции 1-го и 2-го контура · разовая закупка</t>
        </is>
      </c>
      <c r="B11" s="35">
        <f>(Данные!$B$21+Данные!$C$21)*Данные!$B$9</f>
        <v>84240</v>
      </c>
      <c r="C11" s="35" t="n">
        <v>1</v>
      </c>
      <c r="D11" s="11">
        <f>B11*C11</f>
        <v>84240</v>
      </c>
    </row>
    <row r="12">
      <c r="A12" s="34" t="inlineStr">
        <is>
          <t>Штат УКПФ · Клеевые станции 3-го контура, тёплый сезон</t>
        </is>
      </c>
      <c r="B12" s="35">
        <f>Данные!$D$21*Данные!$B$8</f>
        <v>10080</v>
      </c>
      <c r="C12" s="35">
        <f>Данные!$B$14</f>
        <v>7</v>
      </c>
      <c r="D12" s="11">
        <f>B12*C12</f>
        <v>70560</v>
      </c>
    </row>
    <row r="13">
      <c r="A13" s="34" t="inlineStr">
        <is>
          <t>Штат УКПФ · Клеевые станции 3-го контура, зимний сезон — объём вдвое</t>
        </is>
      </c>
      <c r="B13" s="35">
        <f>Данные!$D$21*2*Данные!$B$8</f>
        <v>20160</v>
      </c>
      <c r="C13" s="35">
        <f>Данные!$B$15</f>
        <v>5</v>
      </c>
      <c r="D13" s="11">
        <f>B13*C13</f>
        <v>100800</v>
      </c>
    </row>
    <row r="14">
      <c r="A14" s="34" t="inlineStr">
        <is>
          <t>Штат УКПФ · Зерноцид, 2-й контур</t>
        </is>
      </c>
      <c r="B14" s="35">
        <f>Данные!$G$21*Данные!$B$6</f>
        <v>0</v>
      </c>
      <c r="C14" s="35">
        <f>Данные!$B$14</f>
        <v>7</v>
      </c>
      <c r="D14" s="11">
        <f>B14*C14</f>
        <v>0</v>
      </c>
    </row>
    <row r="15">
      <c r="A15" s="34" t="inlineStr">
        <is>
          <t>Штат УКПФ · Pest Killer, брикеты</t>
        </is>
      </c>
      <c r="B15" s="35">
        <f>Данные!$F$21*Данные!$B$7</f>
        <v>4735.25</v>
      </c>
      <c r="C15" s="35">
        <f>Данные!$B$14</f>
        <v>7</v>
      </c>
      <c r="D15" s="11">
        <f>B15*C15</f>
        <v>33146.75</v>
      </c>
    </row>
    <row r="16">
      <c r="A16" s="34" t="inlineStr">
        <is>
          <t>Штат УКПФ · Бутылки, 1-й контур, тёплый сезон</t>
        </is>
      </c>
      <c r="B16" s="35">
        <f>Данные!$B$21*Данные!$B$10</f>
        <v>0</v>
      </c>
      <c r="C16" s="35">
        <f>Данные!$B$14</f>
        <v>7</v>
      </c>
      <c r="D16" s="11">
        <f>B16*C16</f>
        <v>0</v>
      </c>
    </row>
    <row r="17"/>
    <row r="18" ht="26" customHeight="1">
      <c r="A18" s="27" t="inlineStr">
        <is>
          <t>Клеевые станции по корпусам: Б — 11, Ж — 5, Е — 6, В — 6, В (РМ) — 6, Д — 3, Г — 3, БП-12 — 6, БП-13 — 6, БП-14 — 6, А — 5. Приманочные: 4, 2, 3, 3, 3, 4, 3, 5, 5, 5, 2.</t>
        </is>
      </c>
    </row>
    <row r="19" ht="26" customHeight="1">
      <c r="A19" s="27" t="inlineStr">
        <is>
          <t>Норма 1,3 кг брикетов Pest Killer по АБК — приблизительная оценка, требует подтверждения. Зерноцид по АБК не заявлен.</t>
        </is>
      </c>
    </row>
  </sheetData>
  <mergeCells count="3">
    <mergeCell ref="A19:D19"/>
    <mergeCell ref="A18:D18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7" customWidth="1" min="4" max="4"/>
    <col width="14" customWidth="1" min="5" max="5"/>
    <col width="17" customWidth="1" min="6" max="6"/>
    <col width="14" customWidth="1" min="7" max="7"/>
    <col width="17" customWidth="1" min="8" max="8"/>
    <col width="14" customWidth="1" min="9" max="9"/>
    <col width="17" customWidth="1" min="10" max="10"/>
    <col width="14" customWidth="1" min="11" max="11"/>
    <col width="17" customWidth="1" min="12" max="12"/>
    <col width="18" customWidth="1" min="13" max="13"/>
  </cols>
  <sheetData>
    <row r="1">
      <c r="A1" s="1" t="inlineStr">
        <is>
          <t>ШТАТ УКПФ · зарплата и материалы</t>
        </is>
      </c>
    </row>
    <row r="2">
      <c r="A2" s="2" t="inlineStr">
        <is>
          <t>Зарплата не делится по объектам — она фиксирована и покрывает все объекты сразу. По объектам делятся только материалы.</t>
        </is>
      </c>
    </row>
    <row r="3"/>
    <row r="4">
      <c r="A4" s="18" t="inlineStr">
        <is>
          <t>ФОНД ОПЛАТЫ ТРУДА</t>
        </is>
      </c>
      <c r="B4" s="19" t="n"/>
      <c r="C4" s="19" t="n"/>
      <c r="D4" s="19" t="n"/>
      <c r="E4" s="19" t="n"/>
    </row>
    <row r="5">
      <c r="A5" s="29" t="inlineStr">
        <is>
          <t>Показатель, ₸</t>
        </is>
      </c>
      <c r="B5" s="29" t="inlineStr">
        <is>
          <t>Оклад 258 488 ₸</t>
        </is>
      </c>
      <c r="C5" s="29" t="inlineStr">
        <is>
          <t>Оклад 350 000 ₸</t>
        </is>
      </c>
    </row>
    <row r="6">
      <c r="A6" s="9" t="inlineStr">
        <is>
          <t>Оклад одного дератизатора, ₸/мес</t>
        </is>
      </c>
      <c r="B6" s="10">
        <f>Данные!$B$11</f>
        <v>258488</v>
      </c>
      <c r="C6" s="10">
        <f>Данные!$B$12</f>
        <v>350000</v>
      </c>
    </row>
    <row r="7">
      <c r="A7" s="9" t="inlineStr">
        <is>
          <t>Численность, чел.</t>
        </is>
      </c>
      <c r="B7" s="10">
        <f>Данные!$B$13</f>
        <v>5</v>
      </c>
      <c r="C7" s="10">
        <f>Данные!$B$13</f>
        <v>5</v>
      </c>
    </row>
    <row r="8">
      <c r="A8" s="9" t="inlineStr">
        <is>
          <t>Зарплата в месяц</t>
        </is>
      </c>
      <c r="B8" s="10">
        <f>B6*B7</f>
        <v>1292440</v>
      </c>
      <c r="C8" s="10">
        <f>C6*C7</f>
        <v>1750000</v>
      </c>
    </row>
    <row r="9">
      <c r="A9" s="39" t="inlineStr">
        <is>
          <t>Зарплата за год</t>
        </is>
      </c>
      <c r="B9" s="11">
        <f>B8*12</f>
        <v>15509280</v>
      </c>
      <c r="C9" s="11">
        <f>C8*12</f>
        <v>21000000</v>
      </c>
    </row>
    <row r="10"/>
    <row r="11">
      <c r="A11" s="18" t="inlineStr">
        <is>
          <t>МАТЕРИАЛЫ ПО ОБЪЕКТАМ — СТАНЦИИ (РАЗОВАЯ ЗАКУПКА), ЯДЫ И БУТЫЛКИ (ТОЛЬКО ТЁПЛЫЙ СЕЗОН) РАЗДЕЛЬНО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>
      <c r="A12" s="7" t="inlineStr">
        <is>
          <t>Объект</t>
        </is>
      </c>
      <c r="B12" s="8" t="inlineStr">
        <is>
          <t>Станций 1–2 к., шт</t>
        </is>
      </c>
      <c r="C12" s="8" t="inlineStr">
        <is>
          <t>Станции 1–2 к., разово, ₸</t>
        </is>
      </c>
      <c r="D12" s="8" t="inlineStr">
        <is>
          <t>Клеевых 3-го к., шт/мес лето</t>
        </is>
      </c>
      <c r="E12" s="8" t="inlineStr">
        <is>
          <t>Клеевых 3-го к., шт/мес зима</t>
        </is>
      </c>
      <c r="F12" s="8" t="inlineStr">
        <is>
          <t>Клеевые за год, ₸</t>
        </is>
      </c>
      <c r="G12" s="8" t="inlineStr">
        <is>
          <t>Зерноцид, кг/мес</t>
        </is>
      </c>
      <c r="H12" s="8" t="inlineStr">
        <is>
          <t>Зерноцид за год, ₸</t>
        </is>
      </c>
      <c r="I12" s="8" t="inlineStr">
        <is>
          <t>Pest Killer, кг/мес</t>
        </is>
      </c>
      <c r="J12" s="8" t="inlineStr">
        <is>
          <t>Pest Killer за год, ₸</t>
        </is>
      </c>
      <c r="K12" s="8" t="inlineStr">
        <is>
          <t>Бутылки 1-го к., шт/мес</t>
        </is>
      </c>
      <c r="L12" s="8" t="inlineStr">
        <is>
          <t>Бутылки за год, ₸</t>
        </is>
      </c>
      <c r="M12" s="8" t="inlineStr">
        <is>
          <t>Материалы за год, ₸</t>
        </is>
      </c>
    </row>
    <row r="13">
      <c r="A13" s="9" t="inlineStr">
        <is>
          <t>ККЗ · кормоцех</t>
        </is>
      </c>
      <c r="B13" s="54">
        <f>Данные!$B$19+Данные!$C$19</f>
        <v>29</v>
      </c>
      <c r="C13" s="10">
        <f>B13*Данные!$B$9</f>
        <v>62640</v>
      </c>
      <c r="D13" s="54">
        <f>Данные!$D$19</f>
        <v>0</v>
      </c>
      <c r="E13" s="54">
        <f>Данные!$D$19*2</f>
        <v>0</v>
      </c>
      <c r="F13" s="10">
        <f>D13*Данные!$B$8*Данные!$B$14+E13*Данные!$B$8*Данные!$B$15</f>
        <v>0</v>
      </c>
      <c r="G13" s="55">
        <f>Данные!$G$19</f>
        <v>0</v>
      </c>
      <c r="H13" s="10">
        <f>G13*Данные!$B$6*Данные!$B$14</f>
        <v>0</v>
      </c>
      <c r="I13" s="55">
        <f>Данные!$F$19</f>
        <v>1</v>
      </c>
      <c r="J13" s="10">
        <f>I13*Данные!$B$7*Данные!$B$14</f>
        <v>25497.5</v>
      </c>
      <c r="K13" s="54">
        <f>Данные!$B$19</f>
        <v>0</v>
      </c>
      <c r="L13" s="10">
        <f>K13*Данные!$B$10*Данные!$B$14</f>
        <v>0</v>
      </c>
      <c r="M13" s="11">
        <f>C13+F13+H13+J13+L13</f>
        <v>88137.5</v>
      </c>
    </row>
    <row r="14">
      <c r="A14" s="9" t="inlineStr">
        <is>
          <t>Бройлерные площадки · 8 шт</t>
        </is>
      </c>
      <c r="B14" s="54">
        <f>SUM(Данные!$B$22:$B$29)+SUM(Данные!$C$22:$C$29)</f>
        <v>1257</v>
      </c>
      <c r="C14" s="10">
        <f>B14*Данные!$B$9</f>
        <v>2715120</v>
      </c>
      <c r="D14" s="54">
        <f>SUM(Данные!$D$22:$D$29)</f>
        <v>268</v>
      </c>
      <c r="E14" s="54">
        <f>SUM(Данные!$D$22:$D$29)*2</f>
        <v>536</v>
      </c>
      <c r="F14" s="10">
        <f>D14*Данные!$B$8*Данные!$B$14+E14*Данные!$B$8*Данные!$B$15</f>
        <v>728960</v>
      </c>
      <c r="G14" s="55">
        <f>SUM(Данные!$G$22:$G$29)</f>
        <v>15</v>
      </c>
      <c r="H14" s="10">
        <f>G14*Данные!$B$6*Данные!$B$14</f>
        <v>77700</v>
      </c>
      <c r="I14" s="55">
        <f>SUM(Данные!$F$22:$F$29)</f>
        <v>17</v>
      </c>
      <c r="J14" s="10">
        <f>I14*Данные!$B$7*Данные!$B$14</f>
        <v>433457.5</v>
      </c>
      <c r="K14" s="54">
        <f>SUM(Данные!$B$22:$B$29)</f>
        <v>161</v>
      </c>
      <c r="L14" s="10">
        <f>K14*Данные!$B$10*Данные!$B$14</f>
        <v>76636</v>
      </c>
      <c r="M14" s="11">
        <f>C14+F14+H14+J14+L14</f>
        <v>4031873.5</v>
      </c>
    </row>
    <row r="15">
      <c r="A15" s="9" t="inlineStr">
        <is>
          <t>Инкубаторий</t>
        </is>
      </c>
      <c r="B15" s="54">
        <f>Данные!$B$20+Данные!$C$20</f>
        <v>52</v>
      </c>
      <c r="C15" s="10">
        <f>B15*Данные!$B$9</f>
        <v>112320</v>
      </c>
      <c r="D15" s="54">
        <f>Данные!$D$20</f>
        <v>12</v>
      </c>
      <c r="E15" s="54">
        <f>Данные!$D$20*2</f>
        <v>24</v>
      </c>
      <c r="F15" s="10">
        <f>D15*Данные!$B$8*Данные!$B$14+E15*Данные!$B$8*Данные!$B$15</f>
        <v>32640</v>
      </c>
      <c r="G15" s="55">
        <f>Данные!$G$20</f>
        <v>1</v>
      </c>
      <c r="H15" s="10">
        <f>G15*Данные!$B$6*Данные!$B$14</f>
        <v>5180</v>
      </c>
      <c r="I15" s="55">
        <f>Данные!$F$20</f>
        <v>1</v>
      </c>
      <c r="J15" s="10">
        <f>I15*Данные!$B$7*Данные!$B$14</f>
        <v>25497.5</v>
      </c>
      <c r="K15" s="54">
        <f>Данные!$B$20</f>
        <v>18</v>
      </c>
      <c r="L15" s="10">
        <f>K15*Данные!$B$10*Данные!$B$14</f>
        <v>8568</v>
      </c>
      <c r="M15" s="11">
        <f>C15+F15+H15+J15+L15</f>
        <v>184205.5</v>
      </c>
    </row>
    <row r="16">
      <c r="A16" s="9" t="inlineStr">
        <is>
          <t>АБК · 11 корпусов</t>
        </is>
      </c>
      <c r="B16" s="54">
        <f>Данные!$B$21+Данные!$C$21</f>
        <v>39</v>
      </c>
      <c r="C16" s="10">
        <f>B16*Данные!$B$9</f>
        <v>84240</v>
      </c>
      <c r="D16" s="54">
        <f>Данные!$D$21</f>
        <v>63</v>
      </c>
      <c r="E16" s="54">
        <f>Данные!$D$21*2</f>
        <v>126</v>
      </c>
      <c r="F16" s="10">
        <f>D16*Данные!$B$8*Данные!$B$14+E16*Данные!$B$8*Данные!$B$15</f>
        <v>171360</v>
      </c>
      <c r="G16" s="55">
        <f>Данные!$G$21</f>
        <v>0</v>
      </c>
      <c r="H16" s="10">
        <f>G16*Данные!$B$6*Данные!$B$14</f>
        <v>0</v>
      </c>
      <c r="I16" s="55">
        <f>Данные!$F$21</f>
        <v>1.3</v>
      </c>
      <c r="J16" s="10">
        <f>I16*Данные!$B$7*Данные!$B$14</f>
        <v>33146.75</v>
      </c>
      <c r="K16" s="54">
        <f>Данные!$B$21</f>
        <v>0</v>
      </c>
      <c r="L16" s="10">
        <f>K16*Данные!$B$10*Данные!$B$14</f>
        <v>0</v>
      </c>
      <c r="M16" s="11">
        <f>C16+F16+H16+J16+L16</f>
        <v>288746.75</v>
      </c>
    </row>
    <row r="17">
      <c r="A17" s="37" t="inlineStr">
        <is>
          <t>МАТЕРИАЛЫ, ПЕРВЫЙ ГОД ИТОГО (с разовой закупкой станций)</t>
        </is>
      </c>
      <c r="B17" s="26" t="n"/>
      <c r="C17" s="42">
        <f>SUM(C13:C16)</f>
        <v>2974320</v>
      </c>
      <c r="D17" s="26" t="n"/>
      <c r="E17" s="26" t="n"/>
      <c r="F17" s="42">
        <f>SUM(F13:F16)</f>
        <v>932960</v>
      </c>
      <c r="G17" s="56">
        <f>SUM(G13:G16)</f>
        <v>16</v>
      </c>
      <c r="H17" s="42">
        <f>SUM(H13:H16)</f>
        <v>82880</v>
      </c>
      <c r="I17" s="56">
        <f>SUM(I13:I16)</f>
        <v>20.3</v>
      </c>
      <c r="J17" s="42">
        <f>SUM(J13:J16)</f>
        <v>517599.25</v>
      </c>
      <c r="K17" s="26" t="n"/>
      <c r="L17" s="42">
        <f>SUM(L13:L16)</f>
        <v>85204</v>
      </c>
      <c r="M17" s="42">
        <f>SUM(M13:M16)</f>
        <v>4592963.25</v>
      </c>
    </row>
    <row r="18"/>
    <row r="19">
      <c r="A19" s="18" t="inlineStr">
        <is>
          <t>ЧИСЛЕННОСТЬ: СКОЛЬКО СТОИТ ШТАТ ПРИ РАЗНОМ ЧИСЛЕ ЛЮДЕЙ</t>
        </is>
      </c>
      <c r="B19" s="19" t="n"/>
      <c r="C19" s="19" t="n"/>
      <c r="D19" s="19" t="n"/>
      <c r="E19" s="19" t="n"/>
      <c r="F19" s="19" t="n"/>
    </row>
    <row r="20">
      <c r="A20" s="7" t="inlineStr">
        <is>
          <t>Численность, чел.</t>
        </is>
      </c>
      <c r="B20" s="8" t="inlineStr">
        <is>
          <t>ЗП в месяц, ₸ · оклад 258 488</t>
        </is>
      </c>
      <c r="C20" s="8" t="inlineStr">
        <is>
          <t>ЗП за год, ₸ · оклад 258 488</t>
        </is>
      </c>
      <c r="D20" s="8" t="inlineStr">
        <is>
          <t>Материалы за год, ₸</t>
        </is>
      </c>
      <c r="E20" s="8" t="inlineStr">
        <is>
          <t>Итого за год, ₸ · оклад 258 488</t>
        </is>
      </c>
      <c r="F20" s="8" t="inlineStr">
        <is>
          <t>Итого за год, ₸ · оклад 350 000</t>
        </is>
      </c>
    </row>
    <row r="21">
      <c r="A21" s="10" t="n">
        <v>2</v>
      </c>
      <c r="B21" s="10">
        <f>A21*Данные!$B$11</f>
        <v>516976</v>
      </c>
      <c r="C21" s="10">
        <f>B21*12</f>
        <v>6203712</v>
      </c>
      <c r="D21" s="10">
        <f>'Штат УКПФ'!$M$17</f>
        <v>4592963.25</v>
      </c>
      <c r="E21" s="11">
        <f>C21+D21</f>
        <v>10796675.25</v>
      </c>
      <c r="F21" s="11">
        <f>A21*Данные!$B$12*12+D21</f>
        <v>12992963.25</v>
      </c>
    </row>
    <row r="22">
      <c r="A22" s="10" t="n">
        <v>3</v>
      </c>
      <c r="B22" s="10">
        <f>A22*Данные!$B$11</f>
        <v>775464</v>
      </c>
      <c r="C22" s="10">
        <f>B22*12</f>
        <v>9305568</v>
      </c>
      <c r="D22" s="10">
        <f>'Штат УКПФ'!$M$17</f>
        <v>4592963.25</v>
      </c>
      <c r="E22" s="11">
        <f>C22+D22</f>
        <v>13898531.25</v>
      </c>
      <c r="F22" s="11">
        <f>A22*Данные!$B$12*12+D22</f>
        <v>17192963.25</v>
      </c>
    </row>
    <row r="23">
      <c r="A23" s="10" t="n">
        <v>4</v>
      </c>
      <c r="B23" s="10">
        <f>A23*Данные!$B$11</f>
        <v>1033952</v>
      </c>
      <c r="C23" s="10">
        <f>B23*12</f>
        <v>12407424</v>
      </c>
      <c r="D23" s="10">
        <f>'Штат УКПФ'!$M$17</f>
        <v>4592963.25</v>
      </c>
      <c r="E23" s="11">
        <f>C23+D23</f>
        <v>17000387.25</v>
      </c>
      <c r="F23" s="11">
        <f>A23*Данные!$B$12*12+D23</f>
        <v>21392963.25</v>
      </c>
    </row>
    <row r="24">
      <c r="A24" s="10" t="n">
        <v>5</v>
      </c>
      <c r="B24" s="10">
        <f>A24*Данные!$B$11</f>
        <v>1292440</v>
      </c>
      <c r="C24" s="10">
        <f>B24*12</f>
        <v>15509280</v>
      </c>
      <c r="D24" s="10">
        <f>'Штат УКПФ'!$M$17</f>
        <v>4592963.25</v>
      </c>
      <c r="E24" s="11">
        <f>C24+D24</f>
        <v>20102243.25</v>
      </c>
      <c r="F24" s="11">
        <f>A24*Данные!$B$12*12+D24</f>
        <v>25592963.25</v>
      </c>
    </row>
    <row r="25">
      <c r="A25" s="10" t="n">
        <v>6</v>
      </c>
      <c r="B25" s="10">
        <f>A25*Данные!$B$11</f>
        <v>1550928</v>
      </c>
      <c r="C25" s="10">
        <f>B25*12</f>
        <v>18611136</v>
      </c>
      <c r="D25" s="10">
        <f>'Штат УКПФ'!$M$17</f>
        <v>4592963.25</v>
      </c>
      <c r="E25" s="11">
        <f>C25+D25</f>
        <v>23204099.25</v>
      </c>
      <c r="F25" s="11">
        <f>A25*Данные!$B$12*12+D25</f>
        <v>29792963.25</v>
      </c>
    </row>
    <row r="26">
      <c r="A26" s="10" t="n">
        <v>7</v>
      </c>
      <c r="B26" s="10">
        <f>A26*Данные!$B$11</f>
        <v>1809416</v>
      </c>
      <c r="C26" s="10">
        <f>B26*12</f>
        <v>21712992</v>
      </c>
      <c r="D26" s="10">
        <f>'Штат УКПФ'!$M$17</f>
        <v>4592963.25</v>
      </c>
      <c r="E26" s="11">
        <f>C26+D26</f>
        <v>26305955.25</v>
      </c>
      <c r="F26" s="11">
        <f>A26*Данные!$B$12*12+D26</f>
        <v>33992963.25</v>
      </c>
    </row>
    <row r="27">
      <c r="A27" s="10" t="n">
        <v>8</v>
      </c>
      <c r="B27" s="10">
        <f>A27*Данные!$B$11</f>
        <v>2067904</v>
      </c>
      <c r="C27" s="10">
        <f>B27*12</f>
        <v>24814848</v>
      </c>
      <c r="D27" s="10">
        <f>'Штат УКПФ'!$M$17</f>
        <v>4592963.25</v>
      </c>
      <c r="E27" s="11">
        <f>C27+D27</f>
        <v>29407811.25</v>
      </c>
      <c r="F27" s="11">
        <f>A27*Данные!$B$12*12+D27</f>
        <v>38192963.25</v>
      </c>
    </row>
    <row r="28">
      <c r="A28" s="10" t="n">
        <v>9</v>
      </c>
      <c r="B28" s="10">
        <f>A28*Данные!$B$11</f>
        <v>2326392</v>
      </c>
      <c r="C28" s="10">
        <f>B28*12</f>
        <v>27916704</v>
      </c>
      <c r="D28" s="10">
        <f>'Штат УКПФ'!$M$17</f>
        <v>4592963.25</v>
      </c>
      <c r="E28" s="11">
        <f>C28+D28</f>
        <v>32509667.25</v>
      </c>
      <c r="F28" s="11">
        <f>A28*Данные!$B$12*12+D28</f>
        <v>42392963.25</v>
      </c>
    </row>
    <row r="29">
      <c r="A29" s="10" t="n">
        <v>10</v>
      </c>
      <c r="B29" s="10">
        <f>A29*Данные!$B$11</f>
        <v>2584880</v>
      </c>
      <c r="C29" s="10">
        <f>B29*12</f>
        <v>31018560</v>
      </c>
      <c r="D29" s="10">
        <f>'Штат УКПФ'!$M$17</f>
        <v>4592963.25</v>
      </c>
      <c r="E29" s="11">
        <f>C29+D29</f>
        <v>35611523.25</v>
      </c>
      <c r="F29" s="11">
        <f>A29*Данные!$B$12*12+D29</f>
        <v>46592963.25</v>
      </c>
    </row>
    <row r="30"/>
    <row r="31" ht="28" customHeight="1">
      <c r="A31" s="27" t="inlineStr">
        <is>
          <t>Материалы от численности не зависят — норма ядов и станций привязана к точкам, а не к людям. Каждый дополнительный дератизатор добавляет только фонд оплаты труда.</t>
        </is>
      </c>
    </row>
  </sheetData>
  <mergeCells count="2">
    <mergeCell ref="A31:F31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width="58" customWidth="1" min="8" max="8"/>
  </cols>
  <sheetData>
    <row r="1">
      <c r="A1" s="1" t="inlineStr">
        <is>
          <t>ИСХОДНЫЕ ДАННЫЕ · дератизация АО «Усть-Каменогорская птицефабрика», 2026</t>
        </is>
      </c>
    </row>
    <row r="2">
      <c r="A2" s="2" t="inlineStr">
        <is>
          <t>Синие цифры на жёлтом фоне — вводные, их можно менять. Всё остальное на других листах считается формулами.</t>
        </is>
      </c>
    </row>
    <row r="3"/>
    <row r="4">
      <c r="A4" s="18" t="inlineStr">
        <is>
          <t>ЦЕНЫ И ПАРАМЕТРЫ ШТАТА УКПФ</t>
        </is>
      </c>
      <c r="B4" s="19" t="n"/>
      <c r="C4" s="19" t="n"/>
      <c r="D4" s="19" t="n"/>
      <c r="E4" s="19" t="n"/>
      <c r="F4" s="19" t="n"/>
      <c r="G4" s="19" t="n"/>
      <c r="H4" s="19" t="n"/>
    </row>
    <row r="5">
      <c r="A5" s="29" t="inlineStr">
        <is>
          <t>Показатель</t>
        </is>
      </c>
      <c r="B5" s="29" t="inlineStr">
        <is>
          <t>Значение</t>
        </is>
      </c>
      <c r="C5" s="29" t="inlineStr">
        <is>
          <t>Ед. изм.</t>
        </is>
      </c>
      <c r="D5" s="29" t="inlineStr"/>
      <c r="E5" s="29" t="inlineStr"/>
      <c r="F5" s="29" t="inlineStr"/>
      <c r="G5" s="29" t="inlineStr"/>
      <c r="H5" s="29" t="inlineStr">
        <is>
          <t>Источник / примечание</t>
        </is>
      </c>
    </row>
    <row r="6">
      <c r="A6" s="9" t="inlineStr">
        <is>
          <t>Зерноцид</t>
        </is>
      </c>
      <c r="B6" s="44" t="n">
        <v>740</v>
      </c>
      <c r="C6" s="9" t="inlineStr">
        <is>
          <t>₸/кг</t>
        </is>
      </c>
      <c r="H6" s="45" t="inlineStr">
        <is>
          <t>внутренние данные УКПФ</t>
        </is>
      </c>
    </row>
    <row r="7">
      <c r="A7" s="9" t="inlineStr">
        <is>
          <t>Pest Killer, брикеты</t>
        </is>
      </c>
      <c r="B7" s="44" t="n">
        <v>3642.5</v>
      </c>
      <c r="C7" s="9" t="inlineStr">
        <is>
          <t>₸/кг</t>
        </is>
      </c>
      <c r="H7" s="45" t="inlineStr">
        <is>
          <t>перенесено из прежнего расчёта по ККЗ; в исходных нормах цены не было</t>
        </is>
      </c>
    </row>
    <row r="8">
      <c r="A8" s="9" t="inlineStr">
        <is>
          <t>Клеевая станция 3-го контура</t>
        </is>
      </c>
      <c r="B8" s="44" t="n">
        <v>160</v>
      </c>
      <c r="C8" s="9" t="inlineStr">
        <is>
          <t>₸/шт</t>
        </is>
      </c>
      <c r="H8" s="45" t="inlineStr">
        <is>
          <t>внутренние данные УКПФ, расходуется ежемесячно</t>
        </is>
      </c>
    </row>
    <row r="9">
      <c r="A9" s="9" t="inlineStr">
        <is>
          <t>Приманочная станция 1–2 контура</t>
        </is>
      </c>
      <c r="B9" s="44" t="n">
        <v>2160</v>
      </c>
      <c r="C9" s="9" t="inlineStr">
        <is>
          <t>₸/шт</t>
        </is>
      </c>
      <c r="H9" s="45" t="inlineStr">
        <is>
          <t>разовая закупка оборудования; цена из прежнего расчёта по ККЗ</t>
        </is>
      </c>
    </row>
    <row r="10">
      <c r="A10" s="9" t="inlineStr">
        <is>
          <t>Бутылка</t>
        </is>
      </c>
      <c r="B10" s="44" t="n">
        <v>68</v>
      </c>
      <c r="C10" s="9" t="inlineStr">
        <is>
          <t>₸/шт</t>
        </is>
      </c>
      <c r="H10" s="45" t="inlineStr">
        <is>
          <t>внутренние данные УКПФ; расход = число точек 1-го контура, тёплый сезон</t>
        </is>
      </c>
    </row>
    <row r="11">
      <c r="A11" s="9" t="inlineStr">
        <is>
          <t>Оклад дератизатора · вариант 1</t>
        </is>
      </c>
      <c r="B11" s="44" t="n">
        <v>258488</v>
      </c>
      <c r="C11" s="9" t="inlineStr">
        <is>
          <t>₸/мес</t>
        </is>
      </c>
      <c r="H11" s="45" t="inlineStr">
        <is>
          <t>действующий оклад</t>
        </is>
      </c>
    </row>
    <row r="12">
      <c r="A12" s="9" t="inlineStr">
        <is>
          <t>Оклад дератизатора · вариант 2</t>
        </is>
      </c>
      <c r="B12" s="44" t="n">
        <v>350000</v>
      </c>
      <c r="C12" s="9" t="inlineStr">
        <is>
          <t>₸/мес</t>
        </is>
      </c>
      <c r="H12" s="45" t="inlineStr">
        <is>
          <t>альтернативный уровень для сравнения</t>
        </is>
      </c>
    </row>
    <row r="13">
      <c r="A13" s="9" t="inlineStr">
        <is>
          <t>Численность штата</t>
        </is>
      </c>
      <c r="B13" s="44" t="n">
        <v>5</v>
      </c>
      <c r="C13" s="9" t="inlineStr">
        <is>
          <t>чел.</t>
        </is>
      </c>
      <c r="H13" s="45" t="inlineStr">
        <is>
          <t>измените — пересчитаются все листы</t>
        </is>
      </c>
    </row>
    <row r="14">
      <c r="A14" s="9" t="inlineStr">
        <is>
          <t>Тёплых месяцев (апрель — октябрь)</t>
        </is>
      </c>
      <c r="B14" s="44" t="n">
        <v>7</v>
      </c>
      <c r="C14" s="9" t="inlineStr">
        <is>
          <t>мес.</t>
        </is>
      </c>
      <c r="H14" s="45" t="inlineStr">
        <is>
          <t>заряжаются все три контура</t>
        </is>
      </c>
    </row>
    <row r="15">
      <c r="A15" s="9" t="inlineStr">
        <is>
          <t>Зимних месяцев (ноябрь — март)</t>
        </is>
      </c>
      <c r="B15" s="44" t="n">
        <v>5</v>
      </c>
      <c r="C15" s="9" t="inlineStr">
        <is>
          <t>мес.</t>
        </is>
      </c>
      <c r="H15" s="45" t="inlineStr">
        <is>
          <t>1-й и 2-й контуры не заряжаются, 3-й обслуживается вдвое</t>
        </is>
      </c>
    </row>
    <row r="16"/>
    <row r="17">
      <c r="A17" s="18" t="inlineStr">
        <is>
          <t>ПРИМАНОЧНЫЕ СТАНЦИИ И НОРМЫ ЯДОВ ПО ОБЪЕКТАМ УКПФ</t>
        </is>
      </c>
      <c r="B17" s="19" t="n"/>
      <c r="C17" s="19" t="n"/>
      <c r="D17" s="19" t="n"/>
      <c r="E17" s="19" t="n"/>
      <c r="F17" s="19" t="n"/>
      <c r="G17" s="19" t="n"/>
      <c r="H17" s="19" t="n"/>
    </row>
    <row r="18">
      <c r="A18" s="7" t="inlineStr">
        <is>
          <t>Объект</t>
        </is>
      </c>
      <c r="B18" s="8" t="inlineStr">
        <is>
          <t>1-й контур, шт</t>
        </is>
      </c>
      <c r="C18" s="8" t="inlineStr">
        <is>
          <t>2-й контур, шт</t>
        </is>
      </c>
      <c r="D18" s="8" t="inlineStr">
        <is>
          <t>3-й контур, шт</t>
        </is>
      </c>
      <c r="E18" s="8" t="inlineStr">
        <is>
          <t>Всего точек, шт</t>
        </is>
      </c>
      <c r="F18" s="8" t="inlineStr">
        <is>
          <t>Pest Killer, кг</t>
        </is>
      </c>
      <c r="G18" s="8" t="inlineStr">
        <is>
          <t>Зерноцид, кг</t>
        </is>
      </c>
      <c r="H18" s="8" t="inlineStr">
        <is>
          <t>Примечание</t>
        </is>
      </c>
    </row>
    <row r="19">
      <c r="A19" s="9" t="inlineStr">
        <is>
          <t>ККЗ · кормоцех</t>
        </is>
      </c>
      <c r="B19" s="44" t="n">
        <v>0</v>
      </c>
      <c r="C19" s="44" t="n">
        <v>29</v>
      </c>
      <c r="D19" s="44" t="n">
        <v>0</v>
      </c>
      <c r="E19" s="10">
        <f>SUM(B19:D19)</f>
        <v>0</v>
      </c>
      <c r="F19" s="57" t="n">
        <v>1</v>
      </c>
      <c r="G19" s="57" t="n">
        <v>0</v>
      </c>
      <c r="H19" s="45" t="inlineStr">
        <is>
          <t>29 приманочных станций 2-го контура</t>
        </is>
      </c>
    </row>
    <row r="20">
      <c r="A20" s="9" t="inlineStr">
        <is>
          <t>Инкубаторий</t>
        </is>
      </c>
      <c r="B20" s="44" t="n">
        <v>18</v>
      </c>
      <c r="C20" s="44" t="n">
        <v>34</v>
      </c>
      <c r="D20" s="44" t="n">
        <v>12</v>
      </c>
      <c r="E20" s="10">
        <f>SUM(B20:D20)</f>
        <v>18</v>
      </c>
      <c r="F20" s="57" t="n">
        <v>1</v>
      </c>
      <c r="G20" s="57" t="n">
        <v>1</v>
      </c>
      <c r="H20" s="45" t="inlineStr"/>
    </row>
    <row r="21">
      <c r="A21" s="9" t="inlineStr">
        <is>
          <t>АБК · 11 корпусов</t>
        </is>
      </c>
      <c r="B21" s="44" t="n">
        <v>0</v>
      </c>
      <c r="C21" s="44" t="n">
        <v>39</v>
      </c>
      <c r="D21" s="44" t="n">
        <v>63</v>
      </c>
      <c r="E21" s="10">
        <f>SUM(B21:D21)</f>
        <v>0</v>
      </c>
      <c r="F21" s="57" t="n">
        <v>1.3</v>
      </c>
      <c r="G21" s="57" t="n">
        <v>0</v>
      </c>
      <c r="H21" s="45" t="inlineStr">
        <is>
          <t>1,3 кг — приблизительная оценка, требует подтверждения</t>
        </is>
      </c>
    </row>
    <row r="22">
      <c r="A22" s="9" t="inlineStr">
        <is>
          <t>Площадка А</t>
        </is>
      </c>
      <c r="B22" s="44" t="n">
        <v>13</v>
      </c>
      <c r="C22" s="44" t="n">
        <v>147</v>
      </c>
      <c r="D22" s="44" t="n">
        <v>20</v>
      </c>
      <c r="E22" s="10">
        <f>SUM(B22:D22)</f>
        <v>13</v>
      </c>
      <c r="F22" s="57" t="n">
        <v>2</v>
      </c>
      <c r="G22" s="57" t="n">
        <v>2</v>
      </c>
      <c r="H22" s="45" t="inlineStr"/>
    </row>
    <row r="23">
      <c r="A23" s="9" t="inlineStr">
        <is>
          <t>Площадка Б</t>
        </is>
      </c>
      <c r="B23" s="44" t="n">
        <v>17</v>
      </c>
      <c r="C23" s="44" t="n">
        <v>146</v>
      </c>
      <c r="D23" s="44" t="n">
        <v>20</v>
      </c>
      <c r="E23" s="10">
        <f>SUM(B23:D23)</f>
        <v>17</v>
      </c>
      <c r="F23" s="57" t="n">
        <v>2</v>
      </c>
      <c r="G23" s="57" t="n">
        <v>2</v>
      </c>
      <c r="H23" s="45" t="inlineStr"/>
    </row>
    <row r="24">
      <c r="A24" s="9" t="inlineStr">
        <is>
          <t>В / Восточка</t>
        </is>
      </c>
      <c r="B24" s="44" t="n">
        <v>50</v>
      </c>
      <c r="C24" s="44" t="n">
        <v>239</v>
      </c>
      <c r="D24" s="44" t="n">
        <v>30</v>
      </c>
      <c r="E24" s="10">
        <f>SUM(B24:D24)</f>
        <v>50</v>
      </c>
      <c r="F24" s="57" t="n">
        <v>3.5</v>
      </c>
      <c r="G24" s="57" t="n">
        <v>3</v>
      </c>
      <c r="H24" s="45" t="inlineStr"/>
    </row>
    <row r="25">
      <c r="A25" s="9" t="inlineStr">
        <is>
          <t>Площадка Г</t>
        </is>
      </c>
      <c r="B25" s="44" t="n">
        <v>17</v>
      </c>
      <c r="C25" s="44" t="n">
        <v>88</v>
      </c>
      <c r="D25" s="44" t="n">
        <v>80</v>
      </c>
      <c r="E25" s="10">
        <f>SUM(B25:D25)</f>
        <v>17</v>
      </c>
      <c r="F25" s="57" t="n">
        <v>2</v>
      </c>
      <c r="G25" s="57" t="n">
        <v>1</v>
      </c>
      <c r="H25" s="45" t="inlineStr"/>
    </row>
    <row r="26">
      <c r="A26" s="9" t="inlineStr">
        <is>
          <t>Площадка Д</t>
        </is>
      </c>
      <c r="B26" s="44" t="n">
        <v>15</v>
      </c>
      <c r="C26" s="44" t="n">
        <v>69</v>
      </c>
      <c r="D26" s="44" t="n">
        <v>64</v>
      </c>
      <c r="E26" s="10">
        <f>SUM(B26:D26)</f>
        <v>15</v>
      </c>
      <c r="F26" s="57" t="n">
        <v>1.5</v>
      </c>
      <c r="G26" s="57" t="n">
        <v>1</v>
      </c>
      <c r="H26" s="45" t="inlineStr"/>
    </row>
    <row r="27">
      <c r="A27" s="9" t="inlineStr">
        <is>
          <t>Площадка Е</t>
        </is>
      </c>
      <c r="B27" s="44" t="n">
        <v>13</v>
      </c>
      <c r="C27" s="44" t="n">
        <v>147</v>
      </c>
      <c r="D27" s="44" t="n">
        <v>20</v>
      </c>
      <c r="E27" s="10">
        <f>SUM(B27:D27)</f>
        <v>13</v>
      </c>
      <c r="F27" s="57" t="n">
        <v>2</v>
      </c>
      <c r="G27" s="57" t="n">
        <v>2</v>
      </c>
      <c r="H27" s="45" t="inlineStr"/>
    </row>
    <row r="28">
      <c r="A28" s="9" t="inlineStr">
        <is>
          <t>Площадка Ж</t>
        </is>
      </c>
      <c r="B28" s="44" t="n">
        <v>17</v>
      </c>
      <c r="C28" s="44" t="n">
        <v>73</v>
      </c>
      <c r="D28" s="44" t="n">
        <v>10</v>
      </c>
      <c r="E28" s="10">
        <f>SUM(B28:D28)</f>
        <v>17</v>
      </c>
      <c r="F28" s="57" t="n">
        <v>1</v>
      </c>
      <c r="G28" s="57" t="n">
        <v>1</v>
      </c>
      <c r="H28" s="45" t="inlineStr"/>
    </row>
    <row r="29">
      <c r="A29" s="9" t="inlineStr">
        <is>
          <t>Айыртау (БП)</t>
        </is>
      </c>
      <c r="B29" s="44" t="n">
        <v>19</v>
      </c>
      <c r="C29" s="44" t="n">
        <v>187</v>
      </c>
      <c r="D29" s="44" t="n">
        <v>24</v>
      </c>
      <c r="E29" s="10">
        <f>SUM(B29:D29)</f>
        <v>19</v>
      </c>
      <c r="F29" s="57" t="n">
        <v>3</v>
      </c>
      <c r="G29" s="57" t="n">
        <v>3</v>
      </c>
      <c r="H29" s="45" t="inlineStr"/>
    </row>
    <row r="30">
      <c r="A30" s="9" t="inlineStr">
        <is>
          <t>ЗПП · завод по переработке птицы</t>
        </is>
      </c>
      <c r="B30" s="10" t="n"/>
      <c r="C30" s="10" t="n"/>
      <c r="D30" s="10" t="n"/>
      <c r="E30" s="10" t="n"/>
      <c r="F30" s="55" t="n"/>
      <c r="G30" s="55" t="n"/>
      <c r="H30" s="45" t="inlineStr">
        <is>
          <t>нормы расхода не заданы</t>
        </is>
      </c>
    </row>
    <row r="31">
      <c r="A31" s="9" t="inlineStr">
        <is>
          <t>Склад лузги</t>
        </is>
      </c>
      <c r="B31" s="10" t="n"/>
      <c r="C31" s="10" t="n"/>
      <c r="D31" s="10" t="n"/>
      <c r="E31" s="10" t="n"/>
      <c r="F31" s="55" t="n"/>
      <c r="G31" s="55" t="n"/>
      <c r="H31" s="45" t="inlineStr">
        <is>
          <t>нормы расхода не заданы</t>
        </is>
      </c>
    </row>
    <row r="32">
      <c r="A32" s="37" t="inlineStr">
        <is>
          <t>ИТОГО ПО ФАБРИКЕ</t>
        </is>
      </c>
      <c r="B32" s="42">
        <f>SUM(B19:B31)</f>
        <v>179</v>
      </c>
      <c r="C32" s="42">
        <f>SUM(C19:C31)</f>
        <v>1198</v>
      </c>
      <c r="D32" s="42">
        <f>SUM(D19:D31)</f>
        <v>343</v>
      </c>
      <c r="E32" s="42">
        <f>SUM(E19:E31)</f>
        <v>179</v>
      </c>
      <c r="F32" s="56">
        <f>SUM(F19:F31)</f>
        <v>20.3</v>
      </c>
      <c r="G32" s="56">
        <f>SUM(G19:G31)</f>
        <v>16</v>
      </c>
      <c r="H32" s="26" t="n"/>
    </row>
    <row r="33"/>
    <row r="34">
      <c r="A34" s="18" t="inlineStr">
        <is>
          <t>ЦЕНЫ ПОДРЯДЧИКОВ ИЗ КП И ДОГОВОРОВ</t>
        </is>
      </c>
      <c r="B34" s="19" t="n"/>
      <c r="C34" s="19" t="n"/>
      <c r="D34" s="19" t="n"/>
      <c r="E34" s="19" t="n"/>
      <c r="F34" s="19" t="n"/>
      <c r="G34" s="19" t="n"/>
      <c r="H34" s="19" t="n"/>
    </row>
    <row r="35">
      <c r="A35" s="29" t="inlineStr">
        <is>
          <t>Позиция</t>
        </is>
      </c>
      <c r="B35" s="29" t="inlineStr">
        <is>
          <t>Значение</t>
        </is>
      </c>
      <c r="C35" s="29" t="inlineStr">
        <is>
          <t>Ед. изм.</t>
        </is>
      </c>
      <c r="D35" s="29" t="inlineStr"/>
      <c r="E35" s="29" t="inlineStr"/>
      <c r="F35" s="29" t="inlineStr"/>
      <c r="G35" s="29" t="inlineStr"/>
      <c r="H35" s="29" t="inlineStr">
        <is>
          <t>Источник</t>
        </is>
      </c>
    </row>
    <row r="36">
      <c r="A36" s="9" t="inlineStr">
        <is>
          <t>Indigo · ККЗ, дератизация</t>
        </is>
      </c>
      <c r="B36" s="44" t="n">
        <v>96600</v>
      </c>
      <c r="C36" s="9" t="inlineStr">
        <is>
          <t>₸/мес</t>
        </is>
      </c>
      <c r="H36" s="45" t="inlineStr">
        <is>
          <t>Indigo Solutions, КП от 19.08.2026 (цены включают НДС); барьер вокруг периметра кормоцеха и грязный барьер</t>
        </is>
      </c>
    </row>
    <row r="37">
      <c r="A37" s="9" t="inlineStr">
        <is>
          <t>Indigo · Айыртау БП, полная замена</t>
        </is>
      </c>
      <c r="B37" s="44" t="n">
        <v>618400</v>
      </c>
      <c r="C37" s="9" t="inlineStr">
        <is>
          <t>₸/мес</t>
        </is>
      </c>
      <c r="H37" s="45" t="inlineStr">
        <is>
          <t>Indigo Solutions, КП от 19.08.2026 (цены включают НДС); 180 ед. оборудования</t>
        </is>
      </c>
    </row>
    <row r="38">
      <c r="A38" s="9" t="inlineStr">
        <is>
          <t>Indigo · Айыртау БП, частичная замена</t>
        </is>
      </c>
      <c r="B38" s="44" t="n">
        <v>478400</v>
      </c>
      <c r="C38" s="9" t="inlineStr">
        <is>
          <t>₸/мес</t>
        </is>
      </c>
      <c r="H38" s="45" t="inlineStr">
        <is>
          <t>Indigo Solutions, КП от 19.08.2026 (цены включают НДС)</t>
        </is>
      </c>
    </row>
    <row r="39">
      <c r="A39" s="9" t="inlineStr">
        <is>
          <t>Indigo · Многоэтажки Д и Г, полная замена</t>
        </is>
      </c>
      <c r="B39" s="44" t="n">
        <v>569800</v>
      </c>
      <c r="C39" s="9" t="inlineStr">
        <is>
          <t>₸/мес</t>
        </is>
      </c>
      <c r="H39" s="45" t="inlineStr">
        <is>
          <t>Indigo Solutions, КП от 19.08.2026 (цены включают НДС); 166 ед. оборудования</t>
        </is>
      </c>
    </row>
    <row r="40">
      <c r="A40" s="9" t="inlineStr">
        <is>
          <t>Indigo · Многоэтажки Д и Г, частичная замена</t>
        </is>
      </c>
      <c r="B40" s="44" t="n">
        <v>440700</v>
      </c>
      <c r="C40" s="9" t="inlineStr">
        <is>
          <t>₸/мес</t>
        </is>
      </c>
      <c r="H40" s="45" t="inlineStr">
        <is>
          <t>Indigo Solutions, КП от 19.08.2026 (цены включают НДС)</t>
        </is>
      </c>
    </row>
    <row r="41">
      <c r="A41" s="9" t="inlineStr">
        <is>
          <t>Indigo · Площадки А,Б,Е,Ж,В,В(РМ), полная</t>
        </is>
      </c>
      <c r="B41" s="44" t="n">
        <v>2599100</v>
      </c>
      <c r="C41" s="9" t="inlineStr">
        <is>
          <t>₸/мес</t>
        </is>
      </c>
      <c r="H41" s="45" t="inlineStr">
        <is>
          <t>Indigo Solutions, КП от 19.08.2026 (цены включают НДС); 793 ед. оборудования</t>
        </is>
      </c>
    </row>
    <row r="42">
      <c r="A42" s="9" t="inlineStr">
        <is>
          <t>Indigo · Площадки А,Б,Е,Ж,В,В(РМ), частичная</t>
        </is>
      </c>
      <c r="B42" s="44" t="n">
        <v>2010300</v>
      </c>
      <c r="C42" s="9" t="inlineStr">
        <is>
          <t>₸/мес</t>
        </is>
      </c>
      <c r="H42" s="45" t="inlineStr">
        <is>
          <t>Indigo Solutions, КП от 19.08.2026 (цены включают НДС)</t>
        </is>
      </c>
    </row>
    <row r="43">
      <c r="A43" s="9" t="inlineStr">
        <is>
          <t>Indigo · Инкубаторий, полная замена</t>
        </is>
      </c>
      <c r="B43" s="44" t="n">
        <v>126200</v>
      </c>
      <c r="C43" s="9" t="inlineStr">
        <is>
          <t>₸/мес</t>
        </is>
      </c>
      <c r="H43" s="45" t="inlineStr">
        <is>
          <t>Indigo Solutions, КП от 19.08.2026 (цены включают НДС); 48 ед. оборудования</t>
        </is>
      </c>
    </row>
    <row r="44">
      <c r="A44" s="9" t="inlineStr">
        <is>
          <t>Indigo · Инкубаторий, частичная замена</t>
        </is>
      </c>
      <c r="B44" s="44" t="n">
        <v>106800</v>
      </c>
      <c r="C44" s="9" t="inlineStr">
        <is>
          <t>₸/мес</t>
        </is>
      </c>
      <c r="H44" s="45" t="inlineStr">
        <is>
          <t>Indigo Solutions, КП от 19.08.2026 (цены включают НДС)</t>
        </is>
      </c>
    </row>
    <row r="45">
      <c r="A45" s="9" t="inlineStr">
        <is>
          <t>Indigo · ЗПП, полная замена</t>
        </is>
      </c>
      <c r="B45" s="44" t="n">
        <v>126200</v>
      </c>
      <c r="C45" s="9" t="inlineStr">
        <is>
          <t>₸/мес</t>
        </is>
      </c>
      <c r="H45" s="45" t="inlineStr">
        <is>
          <t>Indigo Solutions, КП от 19.08.2026 (цены включают НДС)</t>
        </is>
      </c>
    </row>
    <row r="46">
      <c r="A46" s="9" t="inlineStr">
        <is>
          <t>Indigo · ЗПП, частичная замена</t>
        </is>
      </c>
      <c r="B46" s="44" t="n">
        <v>106800</v>
      </c>
      <c r="C46" s="9" t="inlineStr">
        <is>
          <t>₸/мес</t>
        </is>
      </c>
      <c r="H46" s="45" t="inlineStr">
        <is>
          <t>Indigo Solutions, КП от 19.08.2026 (цены включают НДС)</t>
        </is>
      </c>
    </row>
    <row r="47">
      <c r="A47" s="9" t="inlineStr">
        <is>
          <t>Indigo · дезинсекция, Айыртау БП</t>
        </is>
      </c>
      <c r="B47" s="44" t="n">
        <v>720000</v>
      </c>
      <c r="C47" s="9" t="inlineStr">
        <is>
          <t>₸/мес</t>
        </is>
      </c>
      <c r="H47" s="45" t="inlineStr">
        <is>
          <t>Indigo Solutions, КП от 19.08.2026 (цены включают НДС)</t>
        </is>
      </c>
    </row>
    <row r="48">
      <c r="A48" s="9" t="inlineStr">
        <is>
          <t>Indigo · дезинсекция, Многоэтажки</t>
        </is>
      </c>
      <c r="B48" s="44" t="n">
        <v>1080000</v>
      </c>
      <c r="C48" s="9" t="inlineStr">
        <is>
          <t>₸/мес</t>
        </is>
      </c>
      <c r="H48" s="45" t="inlineStr">
        <is>
          <t>Indigo Solutions, КП от 19.08.2026 (цены включают НДС)</t>
        </is>
      </c>
    </row>
    <row r="49">
      <c r="A49" s="9" t="inlineStr">
        <is>
          <t>Indigo · дезинсекция, Площадки</t>
        </is>
      </c>
      <c r="B49" s="44" t="n">
        <v>3000000</v>
      </c>
      <c r="C49" s="9" t="inlineStr">
        <is>
          <t>₸/мес</t>
        </is>
      </c>
      <c r="H49" s="45" t="inlineStr">
        <is>
          <t>Indigo Solutions, КП от 19.08.2026 (цены включают НДС)</t>
        </is>
      </c>
    </row>
    <row r="50">
      <c r="A50" s="9" t="inlineStr">
        <is>
          <t>Indigo · дезинсекция, Инкубаторий</t>
        </is>
      </c>
      <c r="B50" s="44" t="n">
        <v>100800</v>
      </c>
      <c r="C50" s="9" t="inlineStr">
        <is>
          <t>₸/мес</t>
        </is>
      </c>
      <c r="H50" s="45" t="inlineStr">
        <is>
          <t>Indigo Solutions, КП от 19.08.2026 (цены включают НДС)</t>
        </is>
      </c>
    </row>
    <row r="51">
      <c r="A51" s="9" t="inlineStr">
        <is>
          <t>Indigo · дезинсекция, ЗПП</t>
        </is>
      </c>
      <c r="B51" s="44" t="n">
        <v>160800</v>
      </c>
      <c r="C51" s="9" t="inlineStr">
        <is>
          <t>₸/мес</t>
        </is>
      </c>
      <c r="H51" s="45" t="inlineStr">
        <is>
          <t>Indigo Solutions, КП от 19.08.2026 (цены включают НДС)</t>
        </is>
      </c>
    </row>
    <row r="52">
      <c r="A52" s="9" t="inlineStr">
        <is>
          <t>Pest Hunters · ККЗ, дератизация</t>
        </is>
      </c>
      <c r="B52" s="44" t="n">
        <v>75000</v>
      </c>
      <c r="C52" s="9" t="inlineStr">
        <is>
          <t>₸/мес</t>
        </is>
      </c>
      <c r="H52" s="45" t="inlineStr">
        <is>
          <t>Pest Hunters, КП №26/12 на 2026–2027 (без НДС)</t>
        </is>
      </c>
    </row>
    <row r="53">
      <c r="A53" s="9" t="inlineStr">
        <is>
          <t>Pest Hunters · ККЗ, дезинсекция</t>
        </is>
      </c>
      <c r="B53" s="44" t="n">
        <v>70000</v>
      </c>
      <c r="C53" s="9" t="inlineStr">
        <is>
          <t>₸/мес</t>
        </is>
      </c>
      <c r="H53" s="45" t="inlineStr">
        <is>
          <t>Pest Hunters, КП №26/12 на 2026–2027 (без НДС)</t>
        </is>
      </c>
    </row>
    <row r="54">
      <c r="A54" s="9" t="inlineStr">
        <is>
          <t>Pest Hunters · площадки, март — ноябрь</t>
        </is>
      </c>
      <c r="B54" s="44" t="n">
        <v>3172000</v>
      </c>
      <c r="C54" s="9" t="inlineStr">
        <is>
          <t>₸/мес</t>
        </is>
      </c>
      <c r="H54" s="45" t="inlineStr">
        <is>
          <t>Pest Hunters, КП №26/12 на 2026–2027 (без НДС); 122 объекта, оборудование подрядчика</t>
        </is>
      </c>
    </row>
    <row r="55">
      <c r="A55" s="9" t="inlineStr">
        <is>
          <t>Pest Hunters · площадки, декабрь — февраль</t>
        </is>
      </c>
      <c r="B55" s="44" t="n">
        <v>2074000</v>
      </c>
      <c r="C55" s="9" t="inlineStr">
        <is>
          <t>₸/мес</t>
        </is>
      </c>
      <c r="H55" s="45" t="inlineStr">
        <is>
          <t>Pest Hunters, КП №26/12 на 2026–2027 (без НДС); 122 объекта, оборудование подрядчика</t>
        </is>
      </c>
    </row>
    <row r="56">
      <c r="A56" s="9" t="inlineStr">
        <is>
          <t>Pest Hunters · площадки альт., март — ноябрь</t>
        </is>
      </c>
      <c r="B56" s="44" t="n">
        <v>2806000</v>
      </c>
      <c r="C56" s="9" t="inlineStr">
        <is>
          <t>₸/мес</t>
        </is>
      </c>
      <c r="H56" s="45" t="inlineStr">
        <is>
          <t>Pest Hunters, КП №26/12 на 2026–2027 (без НДС); оборудование заказчика</t>
        </is>
      </c>
    </row>
    <row r="57">
      <c r="A57" s="9" t="inlineStr">
        <is>
          <t>Pest Hunters · площадки альт., дек. — февраль</t>
        </is>
      </c>
      <c r="B57" s="44" t="n">
        <v>1830000</v>
      </c>
      <c r="C57" s="9" t="inlineStr">
        <is>
          <t>₸/мес</t>
        </is>
      </c>
      <c r="H57" s="45" t="inlineStr">
        <is>
          <t>Pest Hunters, КП №26/12 на 2026–2027 (без НДС); оборудование заказчика</t>
        </is>
      </c>
    </row>
    <row r="58">
      <c r="A58" s="9" t="inlineStr">
        <is>
          <t>Pest Hunters · ЗПП</t>
        </is>
      </c>
      <c r="B58" s="44" t="n">
        <v>180000</v>
      </c>
      <c r="C58" s="9" t="inlineStr">
        <is>
          <t>₸/мес</t>
        </is>
      </c>
      <c r="H58" s="45" t="inlineStr">
        <is>
          <t>договор №88 от 01.01.2026; дератизация + дезинсекция, 8 309 м², 3 обхода в месяц</t>
        </is>
      </c>
    </row>
    <row r="59">
      <c r="A59" s="9" t="inlineStr">
        <is>
          <t>Pest Hunters · Инкубаторий, дератизация</t>
        </is>
      </c>
      <c r="B59" s="44" t="n">
        <v>120000</v>
      </c>
      <c r="C59" s="9" t="inlineStr">
        <is>
          <t>₸/мес</t>
        </is>
      </c>
      <c r="H59" s="45" t="inlineStr">
        <is>
          <t>Pest Hunters, КП №26/75 на 2026–2027 (без НДС); ежемесячно 2 раза, с. Акимовка</t>
        </is>
      </c>
    </row>
    <row r="60">
      <c r="A60" s="9" t="inlineStr">
        <is>
          <t>Pest Hunters · Инкубаторий, дезинсекция</t>
        </is>
      </c>
      <c r="B60" s="44" t="n">
        <v>100000</v>
      </c>
      <c r="C60" s="9" t="inlineStr">
        <is>
          <t>₸/мес</t>
        </is>
      </c>
      <c r="H60" s="45" t="inlineStr">
        <is>
          <t>Pest Hunters, КП №26/75 на 2026–2027 (без НДС); ежемесячно 2 раза</t>
        </is>
      </c>
    </row>
    <row r="61">
      <c r="A61" s="9" t="inlineStr">
        <is>
          <t>Pest Hunters · склад ТМЦ, дератизация</t>
        </is>
      </c>
      <c r="B61" s="44" t="n">
        <v>40000</v>
      </c>
      <c r="C61" s="9" t="inlineStr">
        <is>
          <t>₸/мес</t>
        </is>
      </c>
      <c r="H61" s="45" t="inlineStr">
        <is>
          <t>Pest Hunters, КП №26/75 на 2026–2027 (без НДС); ежемесячно 2 раза, пос. К. Кайсенова</t>
        </is>
      </c>
    </row>
    <row r="62">
      <c r="A62" s="9" t="inlineStr">
        <is>
          <t>Pest Hunters · склад ТМЦ, дезинсекция</t>
        </is>
      </c>
      <c r="B62" s="44" t="n">
        <v>40000</v>
      </c>
      <c r="C62" s="9" t="inlineStr">
        <is>
          <t>₸/мес</t>
        </is>
      </c>
      <c r="H62" s="45" t="inlineStr">
        <is>
          <t>Pest Hunters, КП №26/75 на 2026–2027 (без НДС); ежемесячно 2 раза</t>
        </is>
      </c>
    </row>
    <row r="63">
      <c r="A63" s="9" t="inlineStr">
        <is>
          <t>Ставка НДС</t>
        </is>
      </c>
      <c r="B63" s="58" t="n">
        <v>0.16</v>
      </c>
      <c r="C63" s="9" t="inlineStr">
        <is>
          <t>доля</t>
        </is>
      </c>
      <c r="H63" s="45" t="inlineStr">
        <is>
          <t>по КП Pest Hunters №26/12: 2 196 000 ₸ + НДС = 2 547 360 ₸</t>
        </is>
      </c>
    </row>
    <row r="64">
      <c r="A64" s="9" t="inlineStr">
        <is>
          <t>Месяцев высокого тарифа площадок (мар — ноя)</t>
        </is>
      </c>
      <c r="B64" s="44" t="n">
        <v>9</v>
      </c>
      <c r="C64" s="9" t="inlineStr">
        <is>
          <t>мес.</t>
        </is>
      </c>
      <c r="H64" s="45" t="inlineStr">
        <is>
          <t>Pest Hunters, КП №26/12 на 2026–2027 (без НДС)</t>
        </is>
      </c>
    </row>
    <row r="65">
      <c r="A65" s="9" t="inlineStr">
        <is>
          <t>Месяцев низкого тарифа площадок (дек — фев)</t>
        </is>
      </c>
      <c r="B65" s="44" t="n">
        <v>3</v>
      </c>
      <c r="C65" s="9" t="inlineStr">
        <is>
          <t>мес.</t>
        </is>
      </c>
      <c r="H65" s="45" t="inlineStr">
        <is>
          <t>Pest Hunters, КП №26/12 на 2026–2027 (без НДС)</t>
        </is>
      </c>
    </row>
    <row r="66">
      <c r="A66" s="9" t="inlineStr">
        <is>
          <t>Месяцев действия договора по складу ТМЦ</t>
        </is>
      </c>
      <c r="B66" s="44" t="n">
        <v>9</v>
      </c>
      <c r="C66" s="9" t="inlineStr">
        <is>
          <t>мес.</t>
        </is>
      </c>
      <c r="H66" s="45" t="inlineStr">
        <is>
          <t>апрель — декабрь 2026</t>
        </is>
      </c>
    </row>
    <row r="67">
      <c r="A67" s="9" t="inlineStr">
        <is>
          <t>Скидка Indigo за всю территорию фабрики</t>
        </is>
      </c>
      <c r="B67" s="58" t="n">
        <v>0.15</v>
      </c>
      <c r="C67" s="9" t="inlineStr">
        <is>
          <t>доля</t>
        </is>
      </c>
      <c r="H67" s="45" t="inlineStr">
        <is>
          <t>КП от 19.08.2026, условия предоставления скидок</t>
        </is>
      </c>
    </row>
    <row r="68">
      <c r="A68" s="9" t="inlineStr">
        <is>
          <t>Скидка Indigo за 100 % предоплату за год</t>
        </is>
      </c>
      <c r="B68" s="58" t="n">
        <v>0.15</v>
      </c>
      <c r="C68" s="9" t="inlineStr">
        <is>
          <t>доля</t>
        </is>
      </c>
      <c r="H68" s="45" t="inlineStr">
        <is>
          <t>КП от 19.08.2026, дополнительно к предыдущей</t>
        </is>
      </c>
    </row>
    <row r="69">
      <c r="A69" s="9" t="inlineStr">
        <is>
          <t>Скидка Indigo неплательщику НДС</t>
        </is>
      </c>
      <c r="B69" s="58" t="n">
        <v>0.16</v>
      </c>
      <c r="C69" s="9" t="inlineStr">
        <is>
          <t>доля</t>
        </is>
      </c>
      <c r="H69" s="45" t="inlineStr">
        <is>
          <t>КП от 19.08.2026; цены КП уже включают НДС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2026-08-27T04:48:05Z</dcterms:created>
  <dcterms:modified xsi:type="dcterms:W3CDTF">2026-08-27T04:48:05Z</dcterms:modified>
</cp:coreProperties>
</file>