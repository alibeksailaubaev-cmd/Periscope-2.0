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—&quot;"/>
    <numFmt numFmtId="165" formatCode="0.0&quot;×&quot;"/>
    <numFmt numFmtId="166" formatCode="0 %"/>
    <numFmt numFmtId="167" formatCode="#,##0;;&quot;—&quot;"/>
    <numFmt numFmtId="168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0" fontId="4" fillId="3" borderId="1" pivotButton="0" quotePrefix="0" xfId="0"/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2" applyAlignment="1" pivotButton="0" quotePrefix="0" xfId="0">
      <alignment horizontal="right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7" fontId="5" fillId="0" borderId="1" pivotButton="0" quotePrefix="0" xfId="0"/>
    <xf numFmtId="168" fontId="5" fillId="0" borderId="1" pivotButton="0" quotePrefix="0" xfId="0"/>
    <xf numFmtId="0" fontId="0" fillId="0" borderId="2" pivotButton="0" quotePrefix="0" xfId="0"/>
    <xf numFmtId="168" fontId="4" fillId="0" borderId="2" pivotButton="0" quotePrefix="0" xfId="0"/>
    <xf numFmtId="167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8" fontId="6" fillId="4" borderId="1" pivotButton="0" quotePrefix="0" xfId="0"/>
    <xf numFmtId="166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8" fontId="4" fillId="0" borderId="2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4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2124.791667</v>
      </c>
      <c r="G6" s="8">
        <f>'ККЗ'!D5</f>
        <v>25497.5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103343.125</v>
      </c>
      <c r="G7" s="8">
        <f>'Бройлерные площадки'!D5</f>
        <v>1240117.5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5" t="n"/>
      <c r="F8" s="7">
        <f>G8/12</f>
        <v>5276.458333</v>
      </c>
      <c r="G8" s="8">
        <f>'Инкубаторий'!D5</f>
        <v>63317.5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5" t="n"/>
    </row>
    <row r="10">
      <c r="A10" s="6" t="inlineStr">
        <is>
          <t>Склад ТМЦ</t>
        </is>
      </c>
      <c r="B10" s="9" t="inlineStr">
        <is>
          <t>нет в КП</t>
        </is>
      </c>
      <c r="C10" s="45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5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5" t="n"/>
      <c r="D11" s="9" t="inlineStr">
        <is>
          <t>нет в КП</t>
        </is>
      </c>
      <c r="E11" s="45" t="n"/>
      <c r="F11" s="7">
        <f>G11/12</f>
        <v>17042.22917</v>
      </c>
      <c r="G11" s="8">
        <f>'АБК'!D5</f>
        <v>204506.75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127786.6042</v>
      </c>
      <c r="G12" s="12">
        <f>SUM(G6:G11)</f>
        <v>1533439.25</v>
      </c>
    </row>
    <row r="13">
      <c r="A13" s="6" t="inlineStr">
        <is>
          <t>Штат УКПФ: зарплата и бутылки</t>
        </is>
      </c>
      <c r="B13" s="10" t="n"/>
      <c r="C13" s="10" t="n"/>
      <c r="D13" s="10" t="n"/>
      <c r="E13" s="10" t="n"/>
      <c r="F13" s="7">
        <f>G13/12</f>
        <v>1035538.667</v>
      </c>
      <c r="G13" s="7">
        <f>Данные!$B$14*Данные!$B$12*12+Данные!$B$11*Данные!$B$10*Данные!$B$15</f>
        <v>12426464</v>
      </c>
    </row>
    <row r="14">
      <c r="A14" s="13" t="inlineStr">
        <is>
          <t>ВСЕГО ЗА ГОД</t>
        </is>
      </c>
      <c r="B14" s="14">
        <f>C14/12</f>
        <v>4136300</v>
      </c>
      <c r="C14" s="14">
        <f>C12</f>
        <v>49635600</v>
      </c>
      <c r="D14" s="14">
        <f>E14/12</f>
        <v>3212500</v>
      </c>
      <c r="E14" s="14">
        <f>E12</f>
        <v>38550000</v>
      </c>
      <c r="F14" s="14">
        <f>G14/12</f>
        <v>1163325.271</v>
      </c>
      <c r="G14" s="14">
        <f>G12+G13</f>
        <v>13959903.25</v>
      </c>
    </row>
    <row r="15"/>
    <row r="16">
      <c r="A16" s="15" t="inlineStr">
        <is>
          <t>РАЗНИЦА С СОБСТВЕННЫМ ШТАТОМ</t>
        </is>
      </c>
      <c r="B16" s="16" t="n"/>
      <c r="C16" s="16" t="n"/>
      <c r="D16" s="16" t="n"/>
      <c r="E16" s="16" t="n"/>
      <c r="F16" s="16" t="n"/>
      <c r="G16" s="16" t="n"/>
    </row>
    <row r="17">
      <c r="A17" s="17" t="inlineStr">
        <is>
          <t>Показатель</t>
        </is>
      </c>
      <c r="B17" s="5" t="inlineStr">
        <is>
          <t>в месяц</t>
        </is>
      </c>
      <c r="C17" s="5" t="inlineStr">
        <is>
          <t>за год</t>
        </is>
      </c>
      <c r="D17" s="5" t="inlineStr">
        <is>
          <t>во сколько раз</t>
        </is>
      </c>
    </row>
    <row r="18">
      <c r="A18" s="6" t="inlineStr">
        <is>
          <t>Indigo Solutions дороже штата</t>
        </is>
      </c>
      <c r="B18" s="7">
        <f>C18/12</f>
        <v>2972974.729</v>
      </c>
      <c r="C18" s="8">
        <f>C14-G14</f>
        <v>35675696.75</v>
      </c>
      <c r="D18" s="46">
        <f>IF(G14=0,0,C14/G14)</f>
        <v>3.555583381</v>
      </c>
    </row>
    <row r="19">
      <c r="A19" s="6" t="inlineStr">
        <is>
          <t>Pest Hunters дороже штата</t>
        </is>
      </c>
      <c r="B19" s="7">
        <f>C19/12</f>
        <v>2049174.729</v>
      </c>
      <c r="C19" s="8">
        <f>E14-G14</f>
        <v>24590096.75</v>
      </c>
      <c r="D19" s="46">
        <f>IF(G14=0,0,E14/G14)</f>
        <v>2.761480457</v>
      </c>
    </row>
    <row r="20"/>
    <row r="21">
      <c r="A21" s="15" t="inlineStr">
        <is>
          <t>ШТАТ УКПФ · ИЗ ЧЕГО СКЛАДЫВАЕТСЯ</t>
        </is>
      </c>
      <c r="B21" s="16" t="n"/>
      <c r="C21" s="16" t="n"/>
      <c r="D21" s="16" t="n"/>
      <c r="E21" s="16" t="n"/>
      <c r="F21" s="16" t="n"/>
      <c r="G21" s="16" t="n"/>
    </row>
    <row r="22">
      <c r="A22" s="17" t="inlineStr">
        <is>
          <t>Статья</t>
        </is>
      </c>
      <c r="B22" s="5" t="inlineStr">
        <is>
          <t>в месяц</t>
        </is>
      </c>
      <c r="C22" s="5" t="inlineStr">
        <is>
          <t>за год</t>
        </is>
      </c>
    </row>
    <row r="23">
      <c r="A23" s="6" t="inlineStr">
        <is>
          <t>Фонд оплаты труда</t>
        </is>
      </c>
      <c r="B23" s="7">
        <f>C23/12</f>
        <v>1033952</v>
      </c>
      <c r="C23" s="8">
        <f>Данные!$B$14*Данные!$B$12*12</f>
        <v>12407424</v>
      </c>
    </row>
    <row r="24">
      <c r="A24" s="6" t="inlineStr">
        <is>
          <t>Клеевые станции 3-го контура</t>
        </is>
      </c>
      <c r="B24" s="7">
        <f>C24/12</f>
        <v>77746.66667</v>
      </c>
      <c r="C24" s="8">
        <f>'Штат УКПФ'!D18</f>
        <v>932960</v>
      </c>
    </row>
    <row r="25">
      <c r="A25" s="6" t="inlineStr">
        <is>
          <t>Зерноцид</t>
        </is>
      </c>
      <c r="B25" s="7">
        <f>C25/12</f>
        <v>6906.666667</v>
      </c>
      <c r="C25" s="8">
        <f>'Штат УКПФ'!F18</f>
        <v>82880</v>
      </c>
    </row>
    <row r="26">
      <c r="A26" s="6" t="inlineStr">
        <is>
          <t>Pest Killer, брикеты</t>
        </is>
      </c>
      <c r="B26" s="7">
        <f>C26/12</f>
        <v>43133.27083</v>
      </c>
      <c r="C26" s="8">
        <f>'Штат УКПФ'!H18</f>
        <v>517599.25</v>
      </c>
    </row>
    <row r="27">
      <c r="A27" s="6" t="inlineStr">
        <is>
          <t>Бутылки</t>
        </is>
      </c>
      <c r="B27" s="7">
        <f>C27/12</f>
        <v>1586.666667</v>
      </c>
      <c r="C27" s="8">
        <f>Данные!$B$11*Данные!$B$10*Данные!$B$15</f>
        <v>19040</v>
      </c>
    </row>
    <row r="28">
      <c r="A28" s="11" t="inlineStr">
        <is>
          <t>ИТОГО ШТАТ</t>
        </is>
      </c>
      <c r="B28" s="12">
        <f>C28/12</f>
        <v>1163325.271</v>
      </c>
      <c r="C28" s="12">
        <f>SUM(C23:C27)</f>
        <v>13959903.25</v>
      </c>
    </row>
    <row r="29"/>
    <row r="30">
      <c r="A30" s="15" t="inlineStr">
        <is>
          <t>СКИДКИ INDIGO ИЗ КП ОТ 19.08.2026</t>
        </is>
      </c>
      <c r="B30" s="16" t="n"/>
      <c r="C30" s="16" t="n"/>
      <c r="D30" s="16" t="n"/>
      <c r="E30" s="16" t="n"/>
      <c r="F30" s="16" t="n"/>
      <c r="G30" s="16" t="n"/>
    </row>
    <row r="31">
      <c r="A31" s="17" t="inlineStr">
        <is>
          <t>Условие</t>
        </is>
      </c>
      <c r="B31" s="5" t="inlineStr">
        <is>
          <t>в месяц</t>
        </is>
      </c>
      <c r="C31" s="5" t="inlineStr">
        <is>
          <t>за год</t>
        </is>
      </c>
      <c r="D31" s="5" t="inlineStr">
        <is>
          <t>Ставка</t>
        </is>
      </c>
    </row>
    <row r="32">
      <c r="A32" s="6" t="inlineStr">
        <is>
          <t>Цена КП без скидок</t>
        </is>
      </c>
      <c r="B32" s="7">
        <f>C32/12</f>
        <v>4136300</v>
      </c>
      <c r="C32" s="8">
        <f>C14</f>
        <v>49635600</v>
      </c>
      <c r="D32" s="10" t="n"/>
    </row>
    <row r="33">
      <c r="A33" s="6" t="inlineStr">
        <is>
          <t>Вся территория фабрики</t>
        </is>
      </c>
      <c r="B33" s="7">
        <f>C33/12</f>
        <v>3515855</v>
      </c>
      <c r="C33" s="8">
        <f>C14*(1-Данные!$B$64)</f>
        <v>42190260</v>
      </c>
      <c r="D33" s="19">
        <f>Данные!$B$64</f>
        <v>0.15</v>
      </c>
    </row>
    <row r="34">
      <c r="A34" s="6" t="inlineStr">
        <is>
          <t>Вся территория + 100 % предоплата</t>
        </is>
      </c>
      <c r="B34" s="7">
        <f>C34/12</f>
        <v>2988476.75</v>
      </c>
      <c r="C34" s="8">
        <f>C14*(1-Данные!$B$64)*(1-Данные!$B$65)</f>
        <v>35861721</v>
      </c>
      <c r="D34" s="19">
        <f>Данные!$B$65</f>
        <v>0.15</v>
      </c>
    </row>
    <row r="35">
      <c r="A35" s="6" t="inlineStr">
        <is>
          <t>Вся территория + предоплата + неплательщик НДС</t>
        </is>
      </c>
      <c r="B35" s="7">
        <f>C35/12</f>
        <v>2510320.47</v>
      </c>
      <c r="C35" s="8">
        <f>C14*(1-Данные!$B$64)*(1-Данные!$B$65)*(1-Данные!$B$66)</f>
        <v>30123845.64</v>
      </c>
      <c r="D35" s="19">
        <f>Данные!$B$66</f>
        <v>0.16</v>
      </c>
    </row>
    <row r="36"/>
    <row r="37">
      <c r="A37" s="15" t="inlineStr">
        <is>
          <t>ПЕРИОДИЧНОСТЬ ОБХОДОВ</t>
        </is>
      </c>
      <c r="B37" s="16" t="n"/>
      <c r="C37" s="16" t="n"/>
      <c r="D37" s="16" t="n"/>
      <c r="E37" s="16" t="n"/>
      <c r="F37" s="16" t="n"/>
      <c r="G37" s="16" t="n"/>
    </row>
    <row r="38">
      <c r="A38" s="20" t="inlineStr">
        <is>
          <t>Вариант</t>
        </is>
      </c>
      <c r="B38" s="20" t="inlineStr">
        <is>
          <t>Объект</t>
        </is>
      </c>
      <c r="C38" s="20" t="inlineStr">
        <is>
          <t>Обходов в месяц</t>
        </is>
      </c>
      <c r="D38" s="20" t="inlineStr">
        <is>
          <t>Что зафиксировано в документах</t>
        </is>
      </c>
    </row>
    <row r="39">
      <c r="A39" s="6" t="inlineStr">
        <is>
          <t>Indigo Solutions</t>
        </is>
      </c>
      <c r="B39" s="6" t="inlineStr">
        <is>
          <t>все объекты</t>
        </is>
      </c>
      <c r="C39" s="21" t="inlineStr">
        <is>
          <t>в КП не указана</t>
        </is>
      </c>
      <c r="D39" s="22" t="inlineStr">
        <is>
          <t>ответ по заявке ≤ 2 ч, выезд ≤ 24 ч, вызовы без ограничений</t>
        </is>
      </c>
      <c r="E39" s="47" t="n"/>
      <c r="F39" s="47" t="n"/>
      <c r="G39" s="45" t="n"/>
    </row>
    <row r="40">
      <c r="A40" s="6" t="inlineStr">
        <is>
          <t>Pest Hunters</t>
        </is>
      </c>
      <c r="B40" s="6" t="inlineStr">
        <is>
          <t>ККЗ</t>
        </is>
      </c>
      <c r="C40" s="21" t="n">
        <v>1</v>
      </c>
      <c r="D40" s="22" t="inlineStr">
        <is>
          <t>выезд по запросу</t>
        </is>
      </c>
      <c r="E40" s="47" t="n"/>
      <c r="F40" s="47" t="n"/>
      <c r="G40" s="45" t="n"/>
    </row>
    <row r="41">
      <c r="A41" s="6" t="inlineStr">
        <is>
          <t>Pest Hunters</t>
        </is>
      </c>
      <c r="B41" s="6" t="inlineStr">
        <is>
          <t>бройлерные площадки</t>
        </is>
      </c>
      <c r="C41" s="21" t="n">
        <v>1</v>
      </c>
      <c r="D41" s="22" t="inlineStr">
        <is>
          <t>дополнительные визиты по вызову</t>
        </is>
      </c>
      <c r="E41" s="47" t="n"/>
      <c r="F41" s="47" t="n"/>
      <c r="G41" s="45" t="n"/>
    </row>
    <row r="42">
      <c r="A42" s="6" t="inlineStr">
        <is>
          <t>Pest Hunters</t>
        </is>
      </c>
      <c r="B42" s="6" t="inlineStr">
        <is>
          <t>ЗПП</t>
        </is>
      </c>
      <c r="C42" s="21" t="n">
        <v>3</v>
      </c>
      <c r="D42" s="22" t="inlineStr">
        <is>
          <t>по графику на 2026 год, бригада из трёх человек</t>
        </is>
      </c>
      <c r="E42" s="47" t="n"/>
      <c r="F42" s="47" t="n"/>
      <c r="G42" s="45" t="n"/>
    </row>
    <row r="43">
      <c r="A43" s="6" t="inlineStr">
        <is>
          <t>Pest Hunters</t>
        </is>
      </c>
      <c r="B43" s="6" t="inlineStr">
        <is>
          <t>склад ТМЦ</t>
        </is>
      </c>
      <c r="C43" s="21" t="n">
        <v>1</v>
      </c>
      <c r="D43" s="22" t="inlineStr">
        <is>
          <t>выезд по рекламации за два рабочих дня</t>
        </is>
      </c>
      <c r="E43" s="47" t="n"/>
      <c r="F43" s="47" t="n"/>
      <c r="G43" s="45" t="n"/>
    </row>
    <row r="44">
      <c r="A44" s="6" t="inlineStr">
        <is>
          <t>Штат УКПФ</t>
        </is>
      </c>
      <c r="B44" s="6" t="inlineStr">
        <is>
          <t>все объекты</t>
        </is>
      </c>
      <c r="C44" s="21" t="n">
        <v>8</v>
      </c>
      <c r="D44" s="22" t="inlineStr">
        <is>
          <t>присутствие 5/2, реакция в тот же день</t>
        </is>
      </c>
      <c r="E44" s="47" t="n"/>
      <c r="F44" s="47" t="n"/>
      <c r="G44" s="45" t="n"/>
    </row>
  </sheetData>
  <mergeCells count="17">
    <mergeCell ref="D8:E8"/>
    <mergeCell ref="F4:G4"/>
    <mergeCell ref="D41:G41"/>
    <mergeCell ref="D40:G40"/>
    <mergeCell ref="B11:C11"/>
    <mergeCell ref="F10:G10"/>
    <mergeCell ref="A4:A5"/>
    <mergeCell ref="D11:E11"/>
    <mergeCell ref="D39:G39"/>
    <mergeCell ref="D44:G44"/>
    <mergeCell ref="B10:C10"/>
    <mergeCell ref="A2:G2"/>
    <mergeCell ref="D4:E4"/>
    <mergeCell ref="D43:G43"/>
    <mergeCell ref="D42:G42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ККЗ</t>
        </is>
      </c>
    </row>
    <row r="2" ht="26" customHeight="1">
      <c r="A2" s="23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>1159200</v>
      </c>
      <c r="C5" s="26">
        <f>F10</f>
        <v>900000</v>
      </c>
      <c r="D5" s="26">
        <f>F11+F12+F13+F14</f>
        <v>25497.5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барьер вокруг периметра кормоцеха и грязный барьер</t>
        </is>
      </c>
      <c r="C9" s="21" t="inlineStr">
        <is>
          <t>в КП не указана</t>
        </is>
      </c>
      <c r="D9" s="30">
        <f>Данные!$B$37</f>
        <v>96600</v>
      </c>
      <c r="E9" s="30" t="n">
        <v>12</v>
      </c>
      <c r="F9" s="8">
        <f>D9*E9</f>
        <v>1159200</v>
      </c>
    </row>
    <row r="10">
      <c r="A10" s="6" t="inlineStr">
        <is>
          <t>Pest Hunters</t>
        </is>
      </c>
      <c r="B10" s="29" t="inlineStr">
        <is>
          <t>дератизация</t>
        </is>
      </c>
      <c r="C10" s="21" t="n">
        <v>1</v>
      </c>
      <c r="D10" s="30">
        <f>Данные!$B$53</f>
        <v>75000</v>
      </c>
      <c r="E10" s="30" t="n">
        <v>12</v>
      </c>
      <c r="F10" s="8">
        <f>D10*E10</f>
        <v>900000</v>
      </c>
    </row>
    <row r="11">
      <c r="A11" s="6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1" t="n">
        <v>8</v>
      </c>
      <c r="D11" s="30">
        <f>Данные!$D$20*Данные!$B$8</f>
        <v>0</v>
      </c>
      <c r="E11" s="30">
        <f>Данные!$B$15</f>
        <v>7</v>
      </c>
      <c r="F11" s="8">
        <f>D11*E11</f>
        <v>0</v>
      </c>
    </row>
    <row r="12">
      <c r="A12" s="6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1" t="n">
        <v>8</v>
      </c>
      <c r="D12" s="30">
        <f>Данные!$D$20*2*Данные!$B$8</f>
        <v>0</v>
      </c>
      <c r="E12" s="30">
        <f>Данные!$B$16</f>
        <v>5</v>
      </c>
      <c r="F12" s="8">
        <f>D12*E12</f>
        <v>0</v>
      </c>
    </row>
    <row r="13">
      <c r="A13" s="6" t="inlineStr">
        <is>
          <t>Штат УКПФ</t>
        </is>
      </c>
      <c r="B13" s="29" t="inlineStr">
        <is>
          <t>Зерноцид, 2-й контур</t>
        </is>
      </c>
      <c r="C13" s="21" t="n">
        <v>8</v>
      </c>
      <c r="D13" s="30">
        <f>Данные!$G$20*Данные!$B$6</f>
        <v>0</v>
      </c>
      <c r="E13" s="30">
        <f>Данные!$B$15</f>
        <v>7</v>
      </c>
      <c r="F13" s="8">
        <f>D13*E13</f>
        <v>0</v>
      </c>
    </row>
    <row r="14">
      <c r="A14" s="6" t="inlineStr">
        <is>
          <t>Штат УКПФ</t>
        </is>
      </c>
      <c r="B14" s="29" t="inlineStr">
        <is>
          <t>Pest Killer, брикеты</t>
        </is>
      </c>
      <c r="C14" s="21" t="n">
        <v>8</v>
      </c>
      <c r="D14" s="30">
        <f>Данные!$F$20*Данные!$B$7</f>
        <v>3642.5</v>
      </c>
      <c r="E14" s="30">
        <f>Данные!$B$15</f>
        <v>7</v>
      </c>
      <c r="F14" s="8">
        <f>D14*E14</f>
        <v>25497.5</v>
      </c>
    </row>
    <row r="15">
      <c r="E15" s="31" t="inlineStr">
        <is>
          <t>Итого блока</t>
        </is>
      </c>
      <c r="F15" s="12">
        <f>SUM(F9:F14)</f>
        <v>2084697.5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месяц, ₸</t>
        </is>
      </c>
      <c r="E18" s="28" t="inlineStr">
        <is>
          <t>Месяцев</t>
        </is>
      </c>
      <c r="F18" s="28" t="inlineStr">
        <is>
          <t>За год, ₸</t>
        </is>
      </c>
    </row>
    <row r="19">
      <c r="A19" s="6" t="inlineStr">
        <is>
          <t>Штат УКПФ</t>
        </is>
      </c>
      <c r="B19" s="29" t="inlineStr">
        <is>
          <t>Приманочные станции 1-го контура — разовая закупка</t>
        </is>
      </c>
      <c r="C19" s="21" t="inlineStr">
        <is>
          <t>—</t>
        </is>
      </c>
      <c r="D19" s="30">
        <f>Данные!$B$20*Данные!$B$9</f>
        <v>0</v>
      </c>
      <c r="E19" s="30" t="n">
        <v>1</v>
      </c>
      <c r="F19" s="7">
        <f>D19*E19</f>
        <v>0</v>
      </c>
    </row>
    <row r="20">
      <c r="A20" s="6" t="inlineStr">
        <is>
          <t>Штат УКПФ</t>
        </is>
      </c>
      <c r="B20" s="29" t="inlineStr">
        <is>
          <t>Приманочные станции 2-го контура — разовая закупка</t>
        </is>
      </c>
      <c r="C20" s="21" t="inlineStr">
        <is>
          <t>—</t>
        </is>
      </c>
      <c r="D20" s="30">
        <f>Данные!$C$20*Данные!$B$9</f>
        <v>62640</v>
      </c>
      <c r="E20" s="30" t="n">
        <v>1</v>
      </c>
      <c r="F20" s="7">
        <f>D20*E20</f>
        <v>62640</v>
      </c>
    </row>
    <row r="21">
      <c r="E21" s="31" t="inlineStr">
        <is>
          <t>Итого блока</t>
        </is>
      </c>
      <c r="F21" s="12">
        <f>SUM(F19:F20)</f>
        <v>62640</v>
      </c>
    </row>
    <row r="22"/>
    <row r="23">
      <c r="A23" s="15" t="inlineStr">
        <is>
          <t>СПРАВОЧНО: ДЕЗИНСЕКЦИЯ — В СРАВНЕНИЕ НЕ ВХОДИТ</t>
        </is>
      </c>
      <c r="B23" s="16" t="n"/>
      <c r="C23" s="16" t="n"/>
      <c r="D23" s="16" t="n"/>
      <c r="E23" s="16" t="n"/>
      <c r="F23" s="16" t="n"/>
    </row>
    <row r="24">
      <c r="A24" s="27" t="inlineStr">
        <is>
          <t>Вариант</t>
        </is>
      </c>
      <c r="B24" s="27" t="inlineStr">
        <is>
          <t>Что входит</t>
        </is>
      </c>
      <c r="C24" s="28" t="inlineStr">
        <is>
          <t>Обходов в месяц</t>
        </is>
      </c>
      <c r="D24" s="28" t="inlineStr">
        <is>
          <t>Цена в месяц, ₸</t>
        </is>
      </c>
      <c r="E24" s="28" t="inlineStr">
        <is>
          <t>Месяцев</t>
        </is>
      </c>
      <c r="F24" s="28" t="inlineStr">
        <is>
          <t>За год, ₸</t>
        </is>
      </c>
    </row>
    <row r="25">
      <c r="A25" s="6" t="inlineStr">
        <is>
          <t>Pest Hunters</t>
        </is>
      </c>
      <c r="B25" s="29" t="inlineStr">
        <is>
          <t>дезинсекция</t>
        </is>
      </c>
      <c r="C25" s="21" t="n">
        <v>1</v>
      </c>
      <c r="D25" s="30">
        <f>Данные!$B$54</f>
        <v>70000</v>
      </c>
      <c r="E25" s="30" t="n">
        <v>12</v>
      </c>
      <c r="F25" s="7">
        <f>D25*E25</f>
        <v>840000</v>
      </c>
    </row>
    <row r="26">
      <c r="E26" s="31" t="inlineStr">
        <is>
          <t>Итого блока</t>
        </is>
      </c>
      <c r="F26" s="12">
        <f>SUM(F25:F25)</f>
        <v>840000</v>
      </c>
    </row>
    <row r="27"/>
    <row r="28" ht="28" customHeight="1">
      <c r="A28" s="23" t="inlineStr">
        <is>
          <t>Зерноцид по ККЗ в нормах не заявлен, поэтому строка Зерноцида даёт ноль.</t>
        </is>
      </c>
    </row>
    <row r="29" ht="28" customHeight="1">
      <c r="A29" s="2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:F2"/>
    <mergeCell ref="A29:F29"/>
    <mergeCell ref="A28:F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Бройлерные площадки</t>
        </is>
      </c>
    </row>
    <row r="2" ht="26" customHeight="1">
      <c r="A2" s="2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F9+F10+F11</f>
        <v>45447600</v>
      </c>
      <c r="C5" s="26">
        <f>F12+F13</f>
        <v>34770000</v>
      </c>
      <c r="D5" s="26">
        <f>F14+F15+F16+F17</f>
        <v>1240117.5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Айыртау БП (БП-12, БП-13, БП-14) — полная замена, 180 ед.</t>
        </is>
      </c>
      <c r="C9" s="21" t="inlineStr">
        <is>
          <t>в КП не указана</t>
        </is>
      </c>
      <c r="D9" s="30">
        <f>Данные!$B$38</f>
        <v>618400</v>
      </c>
      <c r="E9" s="30" t="n">
        <v>12</v>
      </c>
      <c r="F9" s="8">
        <f>D9*E9</f>
        <v>7420800</v>
      </c>
    </row>
    <row r="10">
      <c r="A10" s="6" t="inlineStr">
        <is>
          <t>Indigo Solutions</t>
        </is>
      </c>
      <c r="B10" s="29" t="inlineStr">
        <is>
          <t>Многоэтажки, площадки Д и Г — полная замена, 166 ед.</t>
        </is>
      </c>
      <c r="C10" s="21" t="inlineStr">
        <is>
          <t>в КП не указана</t>
        </is>
      </c>
      <c r="D10" s="30">
        <f>Данные!$B$40</f>
        <v>569800</v>
      </c>
      <c r="E10" s="30" t="n">
        <v>12</v>
      </c>
      <c r="F10" s="8">
        <f>D10*E10</f>
        <v>6837600</v>
      </c>
    </row>
    <row r="11">
      <c r="A11" s="6" t="inlineStr">
        <is>
          <t>Indigo Solutions</t>
        </is>
      </c>
      <c r="B11" s="29" t="inlineStr">
        <is>
          <t>Площадки А, Б, Е, Ж, В (рем. молод), В — полная замена, 793 ед.</t>
        </is>
      </c>
      <c r="C11" s="21" t="inlineStr">
        <is>
          <t>в КП не указана</t>
        </is>
      </c>
      <c r="D11" s="30">
        <f>Данные!$B$42</f>
        <v>2599100</v>
      </c>
      <c r="E11" s="30" t="n">
        <v>12</v>
      </c>
      <c r="F11" s="8">
        <f>D11*E11</f>
        <v>31189200</v>
      </c>
    </row>
    <row r="12">
      <c r="A12" s="6" t="inlineStr">
        <is>
          <t>Pest Hunters</t>
        </is>
      </c>
      <c r="B12" s="29" t="inlineStr">
        <is>
          <t>122 объекта, март — ноябрь, оборудование подрядчика</t>
        </is>
      </c>
      <c r="C12" s="21" t="n">
        <v>1</v>
      </c>
      <c r="D12" s="30">
        <f>Данные!$B$55</f>
        <v>3172000</v>
      </c>
      <c r="E12" s="30">
        <f>Данные!$B$61</f>
        <v>9</v>
      </c>
      <c r="F12" s="8">
        <f>D12*E12</f>
        <v>28548000</v>
      </c>
    </row>
    <row r="13">
      <c r="A13" s="6" t="inlineStr">
        <is>
          <t>Pest Hunters</t>
        </is>
      </c>
      <c r="B13" s="29" t="inlineStr">
        <is>
          <t>122 объекта, декабрь — февраль, оборудование подрядчика</t>
        </is>
      </c>
      <c r="C13" s="21" t="n">
        <v>1</v>
      </c>
      <c r="D13" s="30">
        <f>Данные!$B$56</f>
        <v>2074000</v>
      </c>
      <c r="E13" s="30">
        <f>Данные!$B$62</f>
        <v>3</v>
      </c>
      <c r="F13" s="8">
        <f>D13*E13</f>
        <v>6222000</v>
      </c>
    </row>
    <row r="14">
      <c r="A14" s="6" t="inlineStr">
        <is>
          <t>Штат УКПФ</t>
        </is>
      </c>
      <c r="B14" s="29" t="inlineStr">
        <is>
          <t>Клеевые станции 3-го контура, тёплый сезон</t>
        </is>
      </c>
      <c r="C14" s="21" t="n">
        <v>8</v>
      </c>
      <c r="D14" s="30">
        <f>SUM(Данные!$D$23:$D$30)*Данные!$B$8</f>
        <v>42880</v>
      </c>
      <c r="E14" s="30">
        <f>Данные!$B$15</f>
        <v>7</v>
      </c>
      <c r="F14" s="8">
        <f>D14*E14</f>
        <v>300160</v>
      </c>
    </row>
    <row r="15">
      <c r="A15" s="6" t="inlineStr">
        <is>
          <t>Штат УКПФ</t>
        </is>
      </c>
      <c r="B15" s="29" t="inlineStr">
        <is>
          <t>Клеевые станции 3-го контура, зимний сезон — объём вдвое</t>
        </is>
      </c>
      <c r="C15" s="21" t="n">
        <v>8</v>
      </c>
      <c r="D15" s="30">
        <f>SUM(Данные!$D$23:$D$30)*2*Данные!$B$8</f>
        <v>85760</v>
      </c>
      <c r="E15" s="30">
        <f>Данные!$B$16</f>
        <v>5</v>
      </c>
      <c r="F15" s="8">
        <f>D15*E15</f>
        <v>428800</v>
      </c>
    </row>
    <row r="16">
      <c r="A16" s="6" t="inlineStr">
        <is>
          <t>Штат УКПФ</t>
        </is>
      </c>
      <c r="B16" s="29" t="inlineStr">
        <is>
          <t>Зерноцид, 2-й контур</t>
        </is>
      </c>
      <c r="C16" s="21" t="n">
        <v>8</v>
      </c>
      <c r="D16" s="30">
        <f>SUM(Данные!$G$23:$G$30)*Данные!$B$6</f>
        <v>11100</v>
      </c>
      <c r="E16" s="30">
        <f>Данные!$B$15</f>
        <v>7</v>
      </c>
      <c r="F16" s="8">
        <f>D16*E16</f>
        <v>77700</v>
      </c>
    </row>
    <row r="17">
      <c r="A17" s="6" t="inlineStr">
        <is>
          <t>Штат УКПФ</t>
        </is>
      </c>
      <c r="B17" s="29" t="inlineStr">
        <is>
          <t>Pest Killer, брикеты</t>
        </is>
      </c>
      <c r="C17" s="21" t="n">
        <v>8</v>
      </c>
      <c r="D17" s="30">
        <f>SUM(Данные!$F$23:$F$30)*Данные!$B$7</f>
        <v>61922.5</v>
      </c>
      <c r="E17" s="30">
        <f>Данные!$B$15</f>
        <v>7</v>
      </c>
      <c r="F17" s="8">
        <f>D17*E17</f>
        <v>433457.5</v>
      </c>
    </row>
    <row r="18">
      <c r="E18" s="31" t="inlineStr">
        <is>
          <t>Итого блока</t>
        </is>
      </c>
      <c r="F18" s="12">
        <f>SUM(F9:F17)</f>
        <v>81457717.5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  <c r="E20" s="16" t="n"/>
      <c r="F20" s="16" t="n"/>
    </row>
    <row r="21">
      <c r="A21" s="27" t="inlineStr">
        <is>
          <t>Вариант</t>
        </is>
      </c>
      <c r="B21" s="27" t="inlineStr">
        <is>
          <t>Что входит</t>
        </is>
      </c>
      <c r="C21" s="28" t="inlineStr">
        <is>
          <t>Обходов в месяц</t>
        </is>
      </c>
      <c r="D21" s="28" t="inlineStr">
        <is>
          <t>Цена в месяц, ₸</t>
        </is>
      </c>
      <c r="E21" s="28" t="inlineStr">
        <is>
          <t>Месяцев</t>
        </is>
      </c>
      <c r="F21" s="28" t="inlineStr">
        <is>
          <t>За год, ₸</t>
        </is>
      </c>
    </row>
    <row r="22">
      <c r="A22" s="6" t="inlineStr">
        <is>
          <t>Indigo Solutions</t>
        </is>
      </c>
      <c r="B22" s="29" t="inlineStr">
        <is>
          <t>Айыртау БП — частичная замена</t>
        </is>
      </c>
      <c r="C22" s="21" t="inlineStr">
        <is>
          <t>в КП не указана</t>
        </is>
      </c>
      <c r="D22" s="30">
        <f>Данные!$B$39</f>
        <v>478400</v>
      </c>
      <c r="E22" s="30" t="n">
        <v>12</v>
      </c>
      <c r="F22" s="7">
        <f>D22*E22</f>
        <v>5740800</v>
      </c>
    </row>
    <row r="23">
      <c r="A23" s="6" t="inlineStr">
        <is>
          <t>Indigo Solutions</t>
        </is>
      </c>
      <c r="B23" s="29" t="inlineStr">
        <is>
          <t>Многоэтажки Д и Г — частичная замена</t>
        </is>
      </c>
      <c r="C23" s="21" t="inlineStr">
        <is>
          <t>в КП не указана</t>
        </is>
      </c>
      <c r="D23" s="30">
        <f>Данные!$B$41</f>
        <v>440700</v>
      </c>
      <c r="E23" s="30" t="n">
        <v>12</v>
      </c>
      <c r="F23" s="7">
        <f>D23*E23</f>
        <v>5288400</v>
      </c>
    </row>
    <row r="24">
      <c r="A24" s="6" t="inlineStr">
        <is>
          <t>Indigo Solutions</t>
        </is>
      </c>
      <c r="B24" s="29" t="inlineStr">
        <is>
          <t>Площадки А, Б, Е, Ж, В (РМ), В — частичная замена</t>
        </is>
      </c>
      <c r="C24" s="21" t="inlineStr">
        <is>
          <t>в КП не указана</t>
        </is>
      </c>
      <c r="D24" s="30">
        <f>Данные!$B$43</f>
        <v>2010300</v>
      </c>
      <c r="E24" s="30" t="n">
        <v>12</v>
      </c>
      <c r="F24" s="7">
        <f>D24*E24</f>
        <v>24123600</v>
      </c>
    </row>
    <row r="25">
      <c r="A25" s="6" t="inlineStr">
        <is>
          <t>Pest Hunters</t>
        </is>
      </c>
      <c r="B25" s="29" t="inlineStr">
        <is>
          <t>122 объекта, март — ноябрь, оборудование заказчика</t>
        </is>
      </c>
      <c r="C25" s="21" t="n">
        <v>1</v>
      </c>
      <c r="D25" s="30">
        <f>Данные!$B$57</f>
        <v>2806000</v>
      </c>
      <c r="E25" s="30">
        <f>Данные!$B$61</f>
        <v>9</v>
      </c>
      <c r="F25" s="7">
        <f>D25*E25</f>
        <v>25254000</v>
      </c>
    </row>
    <row r="26">
      <c r="A26" s="6" t="inlineStr">
        <is>
          <t>Pest Hunters</t>
        </is>
      </c>
      <c r="B26" s="29" t="inlineStr">
        <is>
          <t>122 объекта, декабрь — февраль, оборудование заказчика</t>
        </is>
      </c>
      <c r="C26" s="21" t="n">
        <v>1</v>
      </c>
      <c r="D26" s="30">
        <f>Данные!$B$58</f>
        <v>1830000</v>
      </c>
      <c r="E26" s="30">
        <f>Данные!$B$62</f>
        <v>3</v>
      </c>
      <c r="F26" s="7">
        <f>D26*E26</f>
        <v>5490000</v>
      </c>
    </row>
    <row r="27">
      <c r="E27" s="31" t="inlineStr">
        <is>
          <t>Итого блока</t>
        </is>
      </c>
      <c r="F27" s="12">
        <f>SUM(F22:F26)</f>
        <v>65896800</v>
      </c>
    </row>
    <row r="28"/>
    <row r="29">
      <c r="A29" s="15" t="inlineStr">
        <is>
          <t>РАЗОВЫЕ ЗАТРАТЫ ШТАТА (СПРАВОЧНО)</t>
        </is>
      </c>
      <c r="B29" s="16" t="n"/>
      <c r="C29" s="16" t="n"/>
      <c r="D29" s="16" t="n"/>
      <c r="E29" s="16" t="n"/>
      <c r="F29" s="16" t="n"/>
    </row>
    <row r="30">
      <c r="A30" s="27" t="inlineStr">
        <is>
          <t>Вариант</t>
        </is>
      </c>
      <c r="B30" s="27" t="inlineStr">
        <is>
          <t>Что входит</t>
        </is>
      </c>
      <c r="C30" s="28" t="inlineStr">
        <is>
          <t>Обходов в месяц</t>
        </is>
      </c>
      <c r="D30" s="28" t="inlineStr">
        <is>
          <t>Цена в месяц, ₸</t>
        </is>
      </c>
      <c r="E30" s="28" t="inlineStr">
        <is>
          <t>Месяцев</t>
        </is>
      </c>
      <c r="F30" s="28" t="inlineStr">
        <is>
          <t>За год, ₸</t>
        </is>
      </c>
    </row>
    <row r="31">
      <c r="A31" s="6" t="inlineStr">
        <is>
          <t>Штат УКПФ</t>
        </is>
      </c>
      <c r="B31" s="29" t="inlineStr">
        <is>
          <t>Приманочные станции 1-го контура — разовая закупка</t>
        </is>
      </c>
      <c r="C31" s="21" t="inlineStr">
        <is>
          <t>—</t>
        </is>
      </c>
      <c r="D31" s="30">
        <f>SUM(Данные!$B$23:$B$30)*Данные!$B$9</f>
        <v>347760</v>
      </c>
      <c r="E31" s="30" t="n">
        <v>1</v>
      </c>
      <c r="F31" s="7">
        <f>D31*E31</f>
        <v>347760</v>
      </c>
    </row>
    <row r="32">
      <c r="A32" s="6" t="inlineStr">
        <is>
          <t>Штат УКПФ</t>
        </is>
      </c>
      <c r="B32" s="29" t="inlineStr">
        <is>
          <t>Приманочные станции 2-го контура — разовая закупка</t>
        </is>
      </c>
      <c r="C32" s="21" t="inlineStr">
        <is>
          <t>—</t>
        </is>
      </c>
      <c r="D32" s="30">
        <f>SUM(Данные!$C$23:$C$30)*Данные!$B$9</f>
        <v>2367360</v>
      </c>
      <c r="E32" s="30" t="n">
        <v>1</v>
      </c>
      <c r="F32" s="7">
        <f>D32*E32</f>
        <v>2367360</v>
      </c>
    </row>
    <row r="33">
      <c r="E33" s="31" t="inlineStr">
        <is>
          <t>Итого блока</t>
        </is>
      </c>
      <c r="F33" s="12">
        <f>SUM(F31:F32)</f>
        <v>2715120</v>
      </c>
    </row>
    <row r="34"/>
    <row r="35">
      <c r="A35" s="15" t="inlineStr">
        <is>
          <t>СПРАВОЧНО: ДЕЗИНСЕКЦИЯ — В СРАВНЕНИЕ НЕ ВХОДИТ</t>
        </is>
      </c>
      <c r="B35" s="16" t="n"/>
      <c r="C35" s="16" t="n"/>
      <c r="D35" s="16" t="n"/>
      <c r="E35" s="16" t="n"/>
      <c r="F35" s="16" t="n"/>
    </row>
    <row r="36">
      <c r="A36" s="27" t="inlineStr">
        <is>
          <t>Вариант</t>
        </is>
      </c>
      <c r="B36" s="27" t="inlineStr">
        <is>
          <t>Что входит</t>
        </is>
      </c>
      <c r="C36" s="28" t="inlineStr">
        <is>
          <t>Обходов в месяц</t>
        </is>
      </c>
      <c r="D36" s="28" t="inlineStr">
        <is>
          <t>Цена в месяц, ₸</t>
        </is>
      </c>
      <c r="E36" s="28" t="inlineStr">
        <is>
          <t>Месяцев</t>
        </is>
      </c>
      <c r="F36" s="28" t="inlineStr">
        <is>
          <t>За год, ₸</t>
        </is>
      </c>
    </row>
    <row r="37">
      <c r="A37" s="6" t="inlineStr">
        <is>
          <t>Indigo Solutions</t>
        </is>
      </c>
      <c r="B37" s="29" t="inlineStr">
        <is>
          <t>Айыртау БП</t>
        </is>
      </c>
      <c r="C37" s="21" t="inlineStr">
        <is>
          <t>в КП не указана</t>
        </is>
      </c>
      <c r="D37" s="30">
        <f>Данные!$B$48</f>
        <v>720000</v>
      </c>
      <c r="E37" s="30" t="n">
        <v>12</v>
      </c>
      <c r="F37" s="7">
        <f>D37*E37</f>
        <v>8640000</v>
      </c>
    </row>
    <row r="38">
      <c r="A38" s="6" t="inlineStr">
        <is>
          <t>Indigo Solutions</t>
        </is>
      </c>
      <c r="B38" s="29" t="inlineStr">
        <is>
          <t>Многоэтажки Д и Г</t>
        </is>
      </c>
      <c r="C38" s="21" t="inlineStr">
        <is>
          <t>в КП не указана</t>
        </is>
      </c>
      <c r="D38" s="30">
        <f>Данные!$B$49</f>
        <v>1080000</v>
      </c>
      <c r="E38" s="30" t="n">
        <v>12</v>
      </c>
      <c r="F38" s="7">
        <f>D38*E38</f>
        <v>12960000</v>
      </c>
    </row>
    <row r="39">
      <c r="A39" s="6" t="inlineStr">
        <is>
          <t>Indigo Solutions</t>
        </is>
      </c>
      <c r="B39" s="29" t="inlineStr">
        <is>
          <t>Площадки А, Б, Е, Ж, В (РМ), В</t>
        </is>
      </c>
      <c r="C39" s="21" t="inlineStr">
        <is>
          <t>в КП не указана</t>
        </is>
      </c>
      <c r="D39" s="30">
        <f>Данные!$B$50</f>
        <v>3000000</v>
      </c>
      <c r="E39" s="30" t="n">
        <v>12</v>
      </c>
      <c r="F39" s="7">
        <f>D39*E39</f>
        <v>36000000</v>
      </c>
    </row>
    <row r="40">
      <c r="E40" s="31" t="inlineStr">
        <is>
          <t>Итого блока</t>
        </is>
      </c>
      <c r="F40" s="12">
        <f>SUM(F37:F39)</f>
        <v>57600000</v>
      </c>
    </row>
    <row r="41"/>
    <row r="42" ht="28" customHeight="1">
      <c r="A42" s="2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8" customHeight="1">
      <c r="A43" s="23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2:F2"/>
    <mergeCell ref="A42:F42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Инкубаторий</t>
        </is>
      </c>
    </row>
    <row r="2" ht="26" customHeight="1">
      <c r="A2" s="23" t="inlineStr">
        <is>
          <t>У Indigo появился в КП от 19.08.2026: 48 ед. оборудования. У Pest Hunters предложения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>1514400</v>
      </c>
      <c r="C5" s="26">
        <f>F10</f>
        <v>0</v>
      </c>
      <c r="D5" s="26">
        <f>F11+F12+F13+F14</f>
        <v>63317.5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полная замена оборудования, 48 ед.</t>
        </is>
      </c>
      <c r="C9" s="21" t="inlineStr">
        <is>
          <t>в КП не указана</t>
        </is>
      </c>
      <c r="D9" s="30">
        <f>Данные!$B$44</f>
        <v>126200</v>
      </c>
      <c r="E9" s="30" t="n">
        <v>12</v>
      </c>
      <c r="F9" s="8">
        <f>D9*E9</f>
        <v>1514400</v>
      </c>
    </row>
    <row r="10">
      <c r="A10" s="6" t="inlineStr">
        <is>
          <t>Pest Hunters</t>
        </is>
      </c>
      <c r="B10" s="29" t="inlineStr">
        <is>
          <t>нет в КП</t>
        </is>
      </c>
      <c r="C10" s="21" t="inlineStr">
        <is>
          <t>—</t>
        </is>
      </c>
      <c r="D10" s="30" t="n">
        <v>0</v>
      </c>
      <c r="E10" s="30" t="n">
        <v>0</v>
      </c>
      <c r="F10" s="8">
        <f>D10*E10</f>
        <v>0</v>
      </c>
    </row>
    <row r="11">
      <c r="A11" s="6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1" t="n">
        <v>8</v>
      </c>
      <c r="D11" s="30">
        <f>Данные!$D$21*Данные!$B$8</f>
        <v>1920</v>
      </c>
      <c r="E11" s="30">
        <f>Данные!$B$15</f>
        <v>7</v>
      </c>
      <c r="F11" s="8">
        <f>D11*E11</f>
        <v>13440</v>
      </c>
    </row>
    <row r="12">
      <c r="A12" s="6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1" t="n">
        <v>8</v>
      </c>
      <c r="D12" s="30">
        <f>Данные!$D$21*2*Данные!$B$8</f>
        <v>3840</v>
      </c>
      <c r="E12" s="30">
        <f>Данные!$B$16</f>
        <v>5</v>
      </c>
      <c r="F12" s="8">
        <f>D12*E12</f>
        <v>19200</v>
      </c>
    </row>
    <row r="13">
      <c r="A13" s="6" t="inlineStr">
        <is>
          <t>Штат УКПФ</t>
        </is>
      </c>
      <c r="B13" s="29" t="inlineStr">
        <is>
          <t>Зерноцид, 2-й контур</t>
        </is>
      </c>
      <c r="C13" s="21" t="n">
        <v>8</v>
      </c>
      <c r="D13" s="30">
        <f>Данные!$G$21*Данные!$B$6</f>
        <v>740</v>
      </c>
      <c r="E13" s="30">
        <f>Данные!$B$15</f>
        <v>7</v>
      </c>
      <c r="F13" s="8">
        <f>D13*E13</f>
        <v>5180</v>
      </c>
    </row>
    <row r="14">
      <c r="A14" s="6" t="inlineStr">
        <is>
          <t>Штат УКПФ</t>
        </is>
      </c>
      <c r="B14" s="29" t="inlineStr">
        <is>
          <t>Pest Killer, брикеты</t>
        </is>
      </c>
      <c r="C14" s="21" t="n">
        <v>8</v>
      </c>
      <c r="D14" s="30">
        <f>Данные!$F$21*Данные!$B$7</f>
        <v>3642.5</v>
      </c>
      <c r="E14" s="30">
        <f>Данные!$B$15</f>
        <v>7</v>
      </c>
      <c r="F14" s="8">
        <f>D14*E14</f>
        <v>25497.5</v>
      </c>
    </row>
    <row r="15">
      <c r="E15" s="31" t="inlineStr">
        <is>
          <t>Итого блока</t>
        </is>
      </c>
      <c r="F15" s="12">
        <f>SUM(F9:F14)</f>
        <v>1577717.5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месяц, ₸</t>
        </is>
      </c>
      <c r="E18" s="28" t="inlineStr">
        <is>
          <t>Месяцев</t>
        </is>
      </c>
      <c r="F18" s="28" t="inlineStr">
        <is>
          <t>За год, ₸</t>
        </is>
      </c>
    </row>
    <row r="19">
      <c r="A19" s="6" t="inlineStr">
        <is>
          <t>Indigo Solutions</t>
        </is>
      </c>
      <c r="B19" s="29" t="inlineStr">
        <is>
          <t>частичная замена оборудования</t>
        </is>
      </c>
      <c r="C19" s="21" t="inlineStr">
        <is>
          <t>в КП не указана</t>
        </is>
      </c>
      <c r="D19" s="30">
        <f>Данные!$B$45</f>
        <v>106800</v>
      </c>
      <c r="E19" s="30" t="n">
        <v>12</v>
      </c>
      <c r="F19" s="7">
        <f>D19*E19</f>
        <v>1281600</v>
      </c>
    </row>
    <row r="20">
      <c r="E20" s="31" t="inlineStr">
        <is>
          <t>Итого блока</t>
        </is>
      </c>
      <c r="F20" s="12">
        <f>SUM(F19:F19)</f>
        <v>1281600</v>
      </c>
    </row>
    <row r="21"/>
    <row r="22">
      <c r="A22" s="15" t="inlineStr">
        <is>
          <t>РАЗОВЫЕ ЗАТРАТЫ ШТАТА (СПРАВОЧНО)</t>
        </is>
      </c>
      <c r="B22" s="16" t="n"/>
      <c r="C22" s="16" t="n"/>
      <c r="D22" s="16" t="n"/>
      <c r="E22" s="16" t="n"/>
      <c r="F22" s="16" t="n"/>
    </row>
    <row r="23">
      <c r="A23" s="27" t="inlineStr">
        <is>
          <t>Вариант</t>
        </is>
      </c>
      <c r="B23" s="27" t="inlineStr">
        <is>
          <t>Что входит</t>
        </is>
      </c>
      <c r="C23" s="28" t="inlineStr">
        <is>
          <t>Обходов в месяц</t>
        </is>
      </c>
      <c r="D23" s="28" t="inlineStr">
        <is>
          <t>Цена в месяц, ₸</t>
        </is>
      </c>
      <c r="E23" s="28" t="inlineStr">
        <is>
          <t>Месяцев</t>
        </is>
      </c>
      <c r="F23" s="28" t="inlineStr">
        <is>
          <t>За год, ₸</t>
        </is>
      </c>
    </row>
    <row r="24">
      <c r="A24" s="6" t="inlineStr">
        <is>
          <t>Штат УКПФ</t>
        </is>
      </c>
      <c r="B24" s="29" t="inlineStr">
        <is>
          <t>Приманочные станции 1-го контура — разовая закупка</t>
        </is>
      </c>
      <c r="C24" s="21" t="inlineStr">
        <is>
          <t>—</t>
        </is>
      </c>
      <c r="D24" s="30">
        <f>Данные!$B$21*Данные!$B$9</f>
        <v>38880</v>
      </c>
      <c r="E24" s="30" t="n">
        <v>1</v>
      </c>
      <c r="F24" s="7">
        <f>D24*E24</f>
        <v>38880</v>
      </c>
    </row>
    <row r="25">
      <c r="A25" s="6" t="inlineStr">
        <is>
          <t>Штат УКПФ</t>
        </is>
      </c>
      <c r="B25" s="29" t="inlineStr">
        <is>
          <t>Приманочные станции 2-го контура — разовая закупка</t>
        </is>
      </c>
      <c r="C25" s="21" t="inlineStr">
        <is>
          <t>—</t>
        </is>
      </c>
      <c r="D25" s="30">
        <f>Данные!$C$21*Данные!$B$9</f>
        <v>73440</v>
      </c>
      <c r="E25" s="30" t="n">
        <v>1</v>
      </c>
      <c r="F25" s="7">
        <f>D25*E25</f>
        <v>73440</v>
      </c>
    </row>
    <row r="26">
      <c r="E26" s="31" t="inlineStr">
        <is>
          <t>Итого блока</t>
        </is>
      </c>
      <c r="F26" s="12">
        <f>SUM(F24:F25)</f>
        <v>112320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  <c r="E28" s="16" t="n"/>
      <c r="F28" s="16" t="n"/>
    </row>
    <row r="29">
      <c r="A29" s="27" t="inlineStr">
        <is>
          <t>Вариант</t>
        </is>
      </c>
      <c r="B29" s="27" t="inlineStr">
        <is>
          <t>Что входит</t>
        </is>
      </c>
      <c r="C29" s="28" t="inlineStr">
        <is>
          <t>Обходов в месяц</t>
        </is>
      </c>
      <c r="D29" s="28" t="inlineStr">
        <is>
          <t>Цена в месяц, ₸</t>
        </is>
      </c>
      <c r="E29" s="28" t="inlineStr">
        <is>
          <t>Месяцев</t>
        </is>
      </c>
      <c r="F29" s="28" t="inlineStr">
        <is>
          <t>За год, ₸</t>
        </is>
      </c>
    </row>
    <row r="30">
      <c r="A30" s="6" t="inlineStr">
        <is>
          <t>Indigo Solutions</t>
        </is>
      </c>
      <c r="B30" s="29" t="inlineStr">
        <is>
          <t>дезинсекция</t>
        </is>
      </c>
      <c r="C30" s="21" t="inlineStr">
        <is>
          <t>в КП не указана</t>
        </is>
      </c>
      <c r="D30" s="30">
        <f>Данные!$B$51</f>
        <v>100800</v>
      </c>
      <c r="E30" s="30" t="n">
        <v>12</v>
      </c>
      <c r="F30" s="7">
        <f>D30*E30</f>
        <v>1209600</v>
      </c>
    </row>
    <row r="31">
      <c r="E31" s="31" t="inlineStr">
        <is>
          <t>Итого блока</t>
        </is>
      </c>
      <c r="F31" s="12">
        <f>SUM(F30:F30)</f>
        <v>1209600</v>
      </c>
    </row>
    <row r="32"/>
    <row r="33" ht="28" customHeight="1">
      <c r="A33" s="2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:F2"/>
    <mergeCell ref="A33:F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ЗПП</t>
        </is>
      </c>
    </row>
    <row r="2" ht="26" customHeight="1">
      <c r="A2" s="2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>1514400</v>
      </c>
      <c r="C5" s="26">
        <f>F10</f>
        <v>2160000</v>
      </c>
      <c r="D5" s="26">
        <f>F11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полная замена оборудования</t>
        </is>
      </c>
      <c r="C9" s="21" t="inlineStr">
        <is>
          <t>в КП не указана</t>
        </is>
      </c>
      <c r="D9" s="30">
        <f>Данные!$B$46</f>
        <v>126200</v>
      </c>
      <c r="E9" s="30" t="n">
        <v>12</v>
      </c>
      <c r="F9" s="8">
        <f>D9*E9</f>
        <v>1514400</v>
      </c>
    </row>
    <row r="10">
      <c r="A10" s="6" t="inlineStr">
        <is>
          <t>Pest Hunters</t>
        </is>
      </c>
      <c r="B10" s="29" t="inlineStr">
        <is>
          <t>договор №88 от 01.01.2026: дератизация и дезинсекция вместе</t>
        </is>
      </c>
      <c r="C10" s="21" t="n">
        <v>3</v>
      </c>
      <c r="D10" s="30">
        <f>Данные!$B$59</f>
        <v>180000</v>
      </c>
      <c r="E10" s="30" t="n">
        <v>12</v>
      </c>
      <c r="F10" s="8">
        <f>D10*E10</f>
        <v>2160000</v>
      </c>
    </row>
    <row r="11">
      <c r="A11" s="6" t="inlineStr">
        <is>
          <t>Штат УКПФ</t>
        </is>
      </c>
      <c r="B11" s="29" t="inlineStr">
        <is>
          <t>нормы расхода по ЗПП не заданы</t>
        </is>
      </c>
      <c r="C11" s="21" t="n">
        <v>8</v>
      </c>
      <c r="D11" s="30" t="n">
        <v>0</v>
      </c>
      <c r="E11" s="30" t="n">
        <v>0</v>
      </c>
      <c r="F11" s="8">
        <f>D11*E11</f>
        <v>0</v>
      </c>
    </row>
    <row r="12">
      <c r="E12" s="31" t="inlineStr">
        <is>
          <t>Итого блока</t>
        </is>
      </c>
      <c r="F12" s="12">
        <f>SUM(F9:F11)</f>
        <v>3674400</v>
      </c>
    </row>
    <row r="13"/>
    <row r="14">
      <c r="A14" s="15" t="inlineStr">
        <is>
          <t>АЛЬТЕРНАТИВНЫЙ ВАРИАНТ INDIGO</t>
        </is>
      </c>
      <c r="B14" s="16" t="n"/>
      <c r="C14" s="16" t="n"/>
      <c r="D14" s="16" t="n"/>
      <c r="E14" s="16" t="n"/>
      <c r="F14" s="16" t="n"/>
    </row>
    <row r="15">
      <c r="A15" s="27" t="inlineStr">
        <is>
          <t>Вариант</t>
        </is>
      </c>
      <c r="B15" s="27" t="inlineStr">
        <is>
          <t>Что входит</t>
        </is>
      </c>
      <c r="C15" s="28" t="inlineStr">
        <is>
          <t>Обходов в месяц</t>
        </is>
      </c>
      <c r="D15" s="28" t="inlineStr">
        <is>
          <t>Цена в месяц, ₸</t>
        </is>
      </c>
      <c r="E15" s="28" t="inlineStr">
        <is>
          <t>Месяцев</t>
        </is>
      </c>
      <c r="F15" s="28" t="inlineStr">
        <is>
          <t>За год, ₸</t>
        </is>
      </c>
    </row>
    <row r="16">
      <c r="A16" s="6" t="inlineStr">
        <is>
          <t>Indigo Solutions</t>
        </is>
      </c>
      <c r="B16" s="29" t="inlineStr">
        <is>
          <t>частичная замена оборудования</t>
        </is>
      </c>
      <c r="C16" s="21" t="inlineStr">
        <is>
          <t>в КП не указана</t>
        </is>
      </c>
      <c r="D16" s="30">
        <f>Данные!$B$47</f>
        <v>106800</v>
      </c>
      <c r="E16" s="30" t="n">
        <v>12</v>
      </c>
      <c r="F16" s="7">
        <f>D16*E16</f>
        <v>1281600</v>
      </c>
    </row>
    <row r="17">
      <c r="E17" s="31" t="inlineStr">
        <is>
          <t>Итого блока</t>
        </is>
      </c>
      <c r="F17" s="12">
        <f>SUM(F16:F16)</f>
        <v>1281600</v>
      </c>
    </row>
    <row r="18"/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  <c r="E19" s="16" t="n"/>
      <c r="F19" s="16" t="n"/>
    </row>
    <row r="20">
      <c r="A20" s="27" t="inlineStr">
        <is>
          <t>Вариант</t>
        </is>
      </c>
      <c r="B20" s="27" t="inlineStr">
        <is>
          <t>Что входит</t>
        </is>
      </c>
      <c r="C20" s="28" t="inlineStr">
        <is>
          <t>Обходов в месяц</t>
        </is>
      </c>
      <c r="D20" s="28" t="inlineStr">
        <is>
          <t>Цена в месяц, ₸</t>
        </is>
      </c>
      <c r="E20" s="28" t="inlineStr">
        <is>
          <t>Месяцев</t>
        </is>
      </c>
      <c r="F20" s="28" t="inlineStr">
        <is>
          <t>За год, ₸</t>
        </is>
      </c>
    </row>
    <row r="21">
      <c r="A21" s="6" t="inlineStr">
        <is>
          <t>Indigo Solutions</t>
        </is>
      </c>
      <c r="B21" s="29" t="inlineStr">
        <is>
          <t>дезинсекция</t>
        </is>
      </c>
      <c r="C21" s="21" t="inlineStr">
        <is>
          <t>в КП не указана</t>
        </is>
      </c>
      <c r="D21" s="30">
        <f>Данные!$B$52</f>
        <v>160800</v>
      </c>
      <c r="E21" s="30" t="n">
        <v>12</v>
      </c>
      <c r="F21" s="7">
        <f>D21*E21</f>
        <v>1929600</v>
      </c>
    </row>
    <row r="22">
      <c r="E22" s="31" t="inlineStr">
        <is>
          <t>Итого блока</t>
        </is>
      </c>
      <c r="F22" s="12">
        <f>SUM(F21:F21)</f>
        <v>1929600</v>
      </c>
    </row>
    <row r="23"/>
    <row r="24" ht="28" customHeight="1">
      <c r="A24" s="2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8" customHeight="1">
      <c r="A25" s="23" t="inlineStr">
        <is>
          <t>По штату УКПФ нормы расхода на ЗПП не заданы, поэтому в расчёте ноль.</t>
        </is>
      </c>
    </row>
  </sheetData>
  <mergeCells count="3">
    <mergeCell ref="A24:F24"/>
    <mergeCell ref="A2:F2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Склад ТМЦ</t>
        </is>
      </c>
    </row>
    <row r="2" ht="26" customHeight="1">
      <c r="A2" s="23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>0</v>
      </c>
      <c r="C5" s="26">
        <f>F10</f>
        <v>720000</v>
      </c>
      <c r="D5" s="26">
        <f>F11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нет в КП</t>
        </is>
      </c>
      <c r="C9" s="21" t="inlineStr">
        <is>
          <t>—</t>
        </is>
      </c>
      <c r="D9" s="30" t="n">
        <v>0</v>
      </c>
      <c r="E9" s="30" t="n">
        <v>0</v>
      </c>
      <c r="F9" s="8">
        <f>D9*E9</f>
        <v>0</v>
      </c>
    </row>
    <row r="10">
      <c r="A10" s="6" t="inlineStr">
        <is>
          <t>Pest Hunters</t>
        </is>
      </c>
      <c r="B10" s="29" t="inlineStr">
        <is>
          <t>договор №921: дератизация и дезинсекция, выезд по рекламации за 2 рабочих дня</t>
        </is>
      </c>
      <c r="C10" s="21" t="n">
        <v>1</v>
      </c>
      <c r="D10" s="30">
        <f>Данные!$B$60</f>
        <v>80000</v>
      </c>
      <c r="E10" s="30">
        <f>Данные!$B$63</f>
        <v>9</v>
      </c>
      <c r="F10" s="8">
        <f>D10*E10</f>
        <v>720000</v>
      </c>
    </row>
    <row r="11">
      <c r="A11" s="6" t="inlineStr">
        <is>
          <t>Штат УКПФ</t>
        </is>
      </c>
      <c r="B11" s="29" t="inlineStr">
        <is>
          <t>нормы расхода по складу не заданы</t>
        </is>
      </c>
      <c r="C11" s="21" t="n">
        <v>8</v>
      </c>
      <c r="D11" s="30" t="n">
        <v>0</v>
      </c>
      <c r="E11" s="30" t="n">
        <v>0</v>
      </c>
      <c r="F11" s="8">
        <f>D11*E11</f>
        <v>0</v>
      </c>
    </row>
    <row r="12">
      <c r="E12" s="31" t="inlineStr">
        <is>
          <t>Итого блока</t>
        </is>
      </c>
      <c r="F12" s="12">
        <f>SUM(F9:F11)</f>
        <v>720000</v>
      </c>
    </row>
    <row r="13"/>
    <row r="14" ht="28" customHeight="1">
      <c r="A14" s="23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2:F2"/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АБК</t>
        </is>
      </c>
    </row>
    <row r="2" ht="26" customHeight="1">
      <c r="A2" s="2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>0</v>
      </c>
      <c r="C5" s="26">
        <f>F10</f>
        <v>0</v>
      </c>
      <c r="D5" s="26">
        <f>F11+F12+F13+F14</f>
        <v>204506.75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месяц, ₸</t>
        </is>
      </c>
      <c r="E8" s="28" t="inlineStr">
        <is>
          <t>Месяцев</t>
        </is>
      </c>
      <c r="F8" s="28" t="inlineStr">
        <is>
          <t>За год, ₸</t>
        </is>
      </c>
    </row>
    <row r="9">
      <c r="A9" s="6" t="inlineStr">
        <is>
          <t>Indigo Solutions</t>
        </is>
      </c>
      <c r="B9" s="29" t="inlineStr">
        <is>
          <t>нет в КП</t>
        </is>
      </c>
      <c r="C9" s="21" t="inlineStr">
        <is>
          <t>—</t>
        </is>
      </c>
      <c r="D9" s="30" t="n">
        <v>0</v>
      </c>
      <c r="E9" s="30" t="n">
        <v>0</v>
      </c>
      <c r="F9" s="8">
        <f>D9*E9</f>
        <v>0</v>
      </c>
    </row>
    <row r="10">
      <c r="A10" s="6" t="inlineStr">
        <is>
          <t>Pest Hunters</t>
        </is>
      </c>
      <c r="B10" s="29" t="inlineStr">
        <is>
          <t>нет в КП</t>
        </is>
      </c>
      <c r="C10" s="21" t="inlineStr">
        <is>
          <t>—</t>
        </is>
      </c>
      <c r="D10" s="30" t="n">
        <v>0</v>
      </c>
      <c r="E10" s="30" t="n">
        <v>0</v>
      </c>
      <c r="F10" s="8">
        <f>D10*E10</f>
        <v>0</v>
      </c>
    </row>
    <row r="11">
      <c r="A11" s="6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1" t="n">
        <v>8</v>
      </c>
      <c r="D11" s="30">
        <f>Данные!$D$22*Данные!$B$8</f>
        <v>10080</v>
      </c>
      <c r="E11" s="30">
        <f>Данные!$B$15</f>
        <v>7</v>
      </c>
      <c r="F11" s="8">
        <f>D11*E11</f>
        <v>70560</v>
      </c>
    </row>
    <row r="12">
      <c r="A12" s="6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1" t="n">
        <v>8</v>
      </c>
      <c r="D12" s="30">
        <f>Данные!$D$22*2*Данные!$B$8</f>
        <v>20160</v>
      </c>
      <c r="E12" s="30">
        <f>Данные!$B$16</f>
        <v>5</v>
      </c>
      <c r="F12" s="8">
        <f>D12*E12</f>
        <v>100800</v>
      </c>
    </row>
    <row r="13">
      <c r="A13" s="6" t="inlineStr">
        <is>
          <t>Штат УКПФ</t>
        </is>
      </c>
      <c r="B13" s="29" t="inlineStr">
        <is>
          <t>Зерноцид, 2-й контур</t>
        </is>
      </c>
      <c r="C13" s="21" t="n">
        <v>8</v>
      </c>
      <c r="D13" s="30">
        <f>Данные!$G$22*Данные!$B$6</f>
        <v>0</v>
      </c>
      <c r="E13" s="30">
        <f>Данные!$B$15</f>
        <v>7</v>
      </c>
      <c r="F13" s="8">
        <f>D13*E13</f>
        <v>0</v>
      </c>
    </row>
    <row r="14">
      <c r="A14" s="6" t="inlineStr">
        <is>
          <t>Штат УКПФ</t>
        </is>
      </c>
      <c r="B14" s="29" t="inlineStr">
        <is>
          <t>Pest Killer, брикеты</t>
        </is>
      </c>
      <c r="C14" s="21" t="n">
        <v>8</v>
      </c>
      <c r="D14" s="30">
        <f>Данные!$F$22*Данные!$B$7</f>
        <v>4735.25</v>
      </c>
      <c r="E14" s="30">
        <f>Данные!$B$15</f>
        <v>7</v>
      </c>
      <c r="F14" s="8">
        <f>D14*E14</f>
        <v>33146.75</v>
      </c>
    </row>
    <row r="15">
      <c r="E15" s="31" t="inlineStr">
        <is>
          <t>Итого блока</t>
        </is>
      </c>
      <c r="F15" s="12">
        <f>SUM(F9:F14)</f>
        <v>204506.75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месяц, ₸</t>
        </is>
      </c>
      <c r="E18" s="28" t="inlineStr">
        <is>
          <t>Месяцев</t>
        </is>
      </c>
      <c r="F18" s="28" t="inlineStr">
        <is>
          <t>За год, ₸</t>
        </is>
      </c>
    </row>
    <row r="19">
      <c r="A19" s="6" t="inlineStr">
        <is>
          <t>Штат УКПФ</t>
        </is>
      </c>
      <c r="B19" s="29" t="inlineStr">
        <is>
          <t>Приманочные станции 1-го контура — разовая закупка</t>
        </is>
      </c>
      <c r="C19" s="21" t="inlineStr">
        <is>
          <t>—</t>
        </is>
      </c>
      <c r="D19" s="30">
        <f>Данные!$B$22*Данные!$B$9</f>
        <v>0</v>
      </c>
      <c r="E19" s="30" t="n">
        <v>1</v>
      </c>
      <c r="F19" s="7">
        <f>D19*E19</f>
        <v>0</v>
      </c>
    </row>
    <row r="20">
      <c r="A20" s="6" t="inlineStr">
        <is>
          <t>Штат УКПФ</t>
        </is>
      </c>
      <c r="B20" s="29" t="inlineStr">
        <is>
          <t>Приманочные станции 2-го контура — разовая закупка</t>
        </is>
      </c>
      <c r="C20" s="21" t="inlineStr">
        <is>
          <t>—</t>
        </is>
      </c>
      <c r="D20" s="30">
        <f>Данные!$C$22*Данные!$B$9</f>
        <v>84240</v>
      </c>
      <c r="E20" s="30" t="n">
        <v>1</v>
      </c>
      <c r="F20" s="7">
        <f>D20*E20</f>
        <v>84240</v>
      </c>
    </row>
    <row r="21">
      <c r="E21" s="31" t="inlineStr">
        <is>
          <t>Итого блока</t>
        </is>
      </c>
      <c r="F21" s="12">
        <f>SUM(F19:F20)</f>
        <v>84240</v>
      </c>
    </row>
    <row r="22"/>
    <row r="23" ht="28" customHeight="1">
      <c r="A23" s="2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8" customHeight="1">
      <c r="A24" s="2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4:F24"/>
    <mergeCell ref="A2:F2"/>
    <mergeCell ref="A23:F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0" t="inlineStr">
        <is>
          <t>Показатель, ₸</t>
        </is>
      </c>
      <c r="B5" s="20" t="inlineStr">
        <is>
          <t>Оклад 258 488 ₸</t>
        </is>
      </c>
      <c r="C5" s="20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2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3" t="inlineStr">
        <is>
          <t>Объект</t>
        </is>
      </c>
      <c r="B12" s="34" t="inlineStr">
        <is>
          <t>Клеевых 3-го к., шт/мес лето</t>
        </is>
      </c>
      <c r="C12" s="34" t="inlineStr">
        <is>
          <t>Клеевых 3-го к., шт/мес зима</t>
        </is>
      </c>
      <c r="D12" s="34" t="inlineStr">
        <is>
          <t>Клеевые за год, ₸</t>
        </is>
      </c>
      <c r="E12" s="34" t="inlineStr">
        <is>
          <t>Зерноцид, кг/мес</t>
        </is>
      </c>
      <c r="F12" s="34" t="inlineStr">
        <is>
          <t>Зерноцид за год, ₸</t>
        </is>
      </c>
      <c r="G12" s="34" t="inlineStr">
        <is>
          <t>Pest Killer, кг/мес</t>
        </is>
      </c>
      <c r="H12" s="34" t="inlineStr">
        <is>
          <t>Pest Killer за год, ₸</t>
        </is>
      </c>
      <c r="I12" s="34" t="inlineStr">
        <is>
          <t>Материалы за год, ₸</t>
        </is>
      </c>
    </row>
    <row r="13">
      <c r="A13" s="6" t="inlineStr">
        <is>
          <t>ККЗ · кормоцех</t>
        </is>
      </c>
      <c r="B13" s="35">
        <f>Данные!$D$20</f>
        <v>0</v>
      </c>
      <c r="C13" s="35">
        <f>Данные!$D$20*2</f>
        <v>0</v>
      </c>
      <c r="D13" s="7">
        <f>B13*Данные!$B$8*Данные!$B$15+C13*Данные!$B$8*Данные!$B$16</f>
        <v>0</v>
      </c>
      <c r="E13" s="48">
        <f>Данные!$G$20</f>
        <v>0</v>
      </c>
      <c r="F13" s="7">
        <f>E13*Данные!$B$6*Данные!$B$15</f>
        <v>0</v>
      </c>
      <c r="G13" s="48">
        <f>Данные!$F$20</f>
        <v>1</v>
      </c>
      <c r="H13" s="7">
        <f>G13*Данные!$B$7*Данные!$B$15</f>
        <v>25497.5</v>
      </c>
      <c r="I13" s="8">
        <f>D13+F13+H13</f>
        <v>25497.5</v>
      </c>
    </row>
    <row r="14">
      <c r="A14" s="6" t="inlineStr">
        <is>
          <t>Бройлерные площадки · 8 шт</t>
        </is>
      </c>
      <c r="B14" s="35">
        <f>SUM(Данные!$D$23:$D$30)</f>
        <v>268</v>
      </c>
      <c r="C14" s="35">
        <f>SUM(Данные!$D$23:$D$30)*2</f>
        <v>536</v>
      </c>
      <c r="D14" s="7">
        <f>B14*Данные!$B$8*Данные!$B$15+C14*Данные!$B$8*Данные!$B$16</f>
        <v>728960</v>
      </c>
      <c r="E14" s="48">
        <f>SUM(Данные!$G$23:$G$30)</f>
        <v>15</v>
      </c>
      <c r="F14" s="7">
        <f>E14*Данные!$B$6*Данные!$B$15</f>
        <v>77700</v>
      </c>
      <c r="G14" s="48">
        <f>SUM(Данные!$F$23:$F$30)</f>
        <v>17</v>
      </c>
      <c r="H14" s="7">
        <f>G14*Данные!$B$7*Данные!$B$15</f>
        <v>433457.5</v>
      </c>
      <c r="I14" s="8">
        <f>D14+F14+H14</f>
        <v>1240117.5</v>
      </c>
    </row>
    <row r="15">
      <c r="A15" s="6" t="inlineStr">
        <is>
          <t>Инкубаторий</t>
        </is>
      </c>
      <c r="B15" s="35">
        <f>Данные!$D$21</f>
        <v>12</v>
      </c>
      <c r="C15" s="35">
        <f>Данные!$D$21*2</f>
        <v>24</v>
      </c>
      <c r="D15" s="7">
        <f>B15*Данные!$B$8*Данные!$B$15+C15*Данные!$B$8*Данные!$B$16</f>
        <v>32640</v>
      </c>
      <c r="E15" s="48">
        <f>Данные!$G$21</f>
        <v>1</v>
      </c>
      <c r="F15" s="7">
        <f>E15*Данные!$B$6*Данные!$B$15</f>
        <v>5180</v>
      </c>
      <c r="G15" s="48">
        <f>Данные!$F$21</f>
        <v>1</v>
      </c>
      <c r="H15" s="7">
        <f>G15*Данные!$B$7*Данные!$B$15</f>
        <v>25497.5</v>
      </c>
      <c r="I15" s="8">
        <f>D15+F15+H15</f>
        <v>63317.5</v>
      </c>
    </row>
    <row r="16">
      <c r="A16" s="6" t="inlineStr">
        <is>
          <t>АБК · 11 корпусов</t>
        </is>
      </c>
      <c r="B16" s="35">
        <f>Данные!$D$22</f>
        <v>63</v>
      </c>
      <c r="C16" s="35">
        <f>Данные!$D$22*2</f>
        <v>126</v>
      </c>
      <c r="D16" s="7">
        <f>B16*Данные!$B$8*Данные!$B$15+C16*Данные!$B$8*Данные!$B$16</f>
        <v>171360</v>
      </c>
      <c r="E16" s="48">
        <f>Данные!$G$22</f>
        <v>0</v>
      </c>
      <c r="F16" s="7">
        <f>E16*Данные!$B$6*Данные!$B$15</f>
        <v>0</v>
      </c>
      <c r="G16" s="48">
        <f>Данные!$F$22</f>
        <v>1.3</v>
      </c>
      <c r="H16" s="7">
        <f>G16*Данные!$B$7*Данные!$B$15</f>
        <v>33146.75</v>
      </c>
      <c r="I16" s="8">
        <f>D16+F16+H16</f>
        <v>204506.75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37" t="n"/>
      <c r="C18" s="37" t="n"/>
      <c r="D18" s="12">
        <f>SUM(D13:D17)</f>
        <v>932960</v>
      </c>
      <c r="E18" s="49">
        <f>SUM(E13:E17)</f>
        <v>16</v>
      </c>
      <c r="F18" s="12">
        <f>SUM(F13:F17)</f>
        <v>82880</v>
      </c>
      <c r="G18" s="49">
        <f>SUM(G13:G17)</f>
        <v>20.3</v>
      </c>
      <c r="H18" s="12">
        <f>SUM(H13:H17)</f>
        <v>517599.25</v>
      </c>
      <c r="I18" s="12">
        <f>SUM(I13:I17)</f>
        <v>1552479.25</v>
      </c>
    </row>
    <row r="19"/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27" t="inlineStr">
        <is>
          <t>Объект</t>
        </is>
      </c>
      <c r="B21" s="28" t="inlineStr">
        <is>
          <t>1-й контур, шт</t>
        </is>
      </c>
      <c r="C21" s="28" t="inlineStr">
        <is>
          <t>2-й контур, шт</t>
        </is>
      </c>
      <c r="D21" s="28" t="inlineStr">
        <is>
          <t>Всего, шт</t>
        </is>
      </c>
      <c r="E21" s="28" t="inlineStr">
        <is>
          <t>Цена, ₸/шт</t>
        </is>
      </c>
      <c r="F21" s="28" t="inlineStr">
        <is>
          <t>Разово, ₸</t>
        </is>
      </c>
    </row>
    <row r="22">
      <c r="A22" s="6" t="inlineStr">
        <is>
          <t>ККЗ · кормоцех</t>
        </is>
      </c>
      <c r="B22" s="35">
        <f>Данные!$B$20</f>
        <v>0</v>
      </c>
      <c r="C22" s="35">
        <f>Данные!$C$20</f>
        <v>29</v>
      </c>
      <c r="D22" s="35">
        <f>B22+C22</f>
        <v>29</v>
      </c>
      <c r="E22" s="30">
        <f>Данные!$B$9</f>
        <v>2160</v>
      </c>
      <c r="F22" s="8">
        <f>D22*E22</f>
        <v>62640</v>
      </c>
    </row>
    <row r="23">
      <c r="A23" s="6" t="inlineStr">
        <is>
          <t>Бройлерные площадки · 8 шт</t>
        </is>
      </c>
      <c r="B23" s="35">
        <f>SUM(Данные!$B$23:$B$30)</f>
        <v>161</v>
      </c>
      <c r="C23" s="35">
        <f>SUM(Данные!$C$23:$C$30)</f>
        <v>1096</v>
      </c>
      <c r="D23" s="35">
        <f>B23+C23</f>
        <v>1257</v>
      </c>
      <c r="E23" s="30">
        <f>Данные!$B$9</f>
        <v>2160</v>
      </c>
      <c r="F23" s="8">
        <f>D23*E23</f>
        <v>2715120</v>
      </c>
    </row>
    <row r="24">
      <c r="A24" s="6" t="inlineStr">
        <is>
          <t>Инкубаторий</t>
        </is>
      </c>
      <c r="B24" s="35">
        <f>Данные!$B$21</f>
        <v>18</v>
      </c>
      <c r="C24" s="35">
        <f>Данные!$C$21</f>
        <v>34</v>
      </c>
      <c r="D24" s="35">
        <f>B24+C24</f>
        <v>52</v>
      </c>
      <c r="E24" s="30">
        <f>Данные!$B$9</f>
        <v>2160</v>
      </c>
      <c r="F24" s="8">
        <f>D24*E24</f>
        <v>112320</v>
      </c>
    </row>
    <row r="25">
      <c r="A25" s="6" t="inlineStr">
        <is>
          <t>АБК · 11 корпусов</t>
        </is>
      </c>
      <c r="B25" s="35">
        <f>Данные!$B$22</f>
        <v>0</v>
      </c>
      <c r="C25" s="35">
        <f>Данные!$C$22</f>
        <v>39</v>
      </c>
      <c r="D25" s="35">
        <f>B25+C25</f>
        <v>39</v>
      </c>
      <c r="E25" s="30">
        <f>Данные!$B$9</f>
        <v>2160</v>
      </c>
      <c r="F25" s="8">
        <f>D25*E25</f>
        <v>84240</v>
      </c>
    </row>
    <row r="26">
      <c r="A26" s="11" t="inlineStr">
        <is>
          <t>ИТОГО РАЗОВО</t>
        </is>
      </c>
      <c r="B26" s="39">
        <f>SUM(B22:B25)</f>
        <v>179</v>
      </c>
      <c r="C26" s="39">
        <f>SUM(C22:C25)</f>
        <v>1198</v>
      </c>
      <c r="D26" s="39">
        <f>SUM(D22:D25)</f>
        <v>1377</v>
      </c>
      <c r="E26" s="37" t="n"/>
      <c r="F26" s="12">
        <f>SUM(F22:F25)</f>
        <v>2974320</v>
      </c>
    </row>
    <row r="27"/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3" t="inlineStr">
        <is>
          <t>Численность, чел.</t>
        </is>
      </c>
      <c r="B29" s="34" t="inlineStr">
        <is>
          <t>ЗП в месяц, ₸ · оклад 258 488</t>
        </is>
      </c>
      <c r="C29" s="34" t="inlineStr">
        <is>
          <t>ЗП за год, ₸ · оклад 258 488</t>
        </is>
      </c>
      <c r="D29" s="34" t="inlineStr">
        <is>
          <t>Материалы за год, ₸</t>
        </is>
      </c>
      <c r="E29" s="34" t="inlineStr">
        <is>
          <t>Итого за год, ₸ · оклад 258 488</t>
        </is>
      </c>
      <c r="F29" s="34" t="inlineStr">
        <is>
          <t>Итого за год, ₸ · оклад 350 000</t>
        </is>
      </c>
    </row>
    <row r="30">
      <c r="A30" s="7" t="n">
        <v>2</v>
      </c>
      <c r="B30" s="7">
        <f>A30*Данные!$B$12</f>
        <v>516976</v>
      </c>
      <c r="C30" s="7">
        <f>B30*12</f>
        <v>6203712</v>
      </c>
      <c r="D30" s="7">
        <f>'Штат УКПФ'!$I$18</f>
        <v>1552479.25</v>
      </c>
      <c r="E30" s="8">
        <f>C30+D30</f>
        <v>7756191.25</v>
      </c>
      <c r="F30" s="8">
        <f>A30*Данные!$B$13*12+D30</f>
        <v>9952479.25</v>
      </c>
    </row>
    <row r="31">
      <c r="A31" s="7" t="n">
        <v>3</v>
      </c>
      <c r="B31" s="7">
        <f>A31*Данные!$B$12</f>
        <v>775464</v>
      </c>
      <c r="C31" s="7">
        <f>B31*12</f>
        <v>9305568</v>
      </c>
      <c r="D31" s="7">
        <f>'Штат УКПФ'!$I$18</f>
        <v>1552479.25</v>
      </c>
      <c r="E31" s="8">
        <f>C31+D31</f>
        <v>10858047.25</v>
      </c>
      <c r="F31" s="8">
        <f>A31*Данные!$B$13*12+D31</f>
        <v>14152479.25</v>
      </c>
    </row>
    <row r="32">
      <c r="A32" s="7" t="n">
        <v>4</v>
      </c>
      <c r="B32" s="7">
        <f>A32*Данные!$B$12</f>
        <v>1033952</v>
      </c>
      <c r="C32" s="7">
        <f>B32*12</f>
        <v>12407424</v>
      </c>
      <c r="D32" s="7">
        <f>'Штат УКПФ'!$I$18</f>
        <v>1552479.25</v>
      </c>
      <c r="E32" s="8">
        <f>C32+D32</f>
        <v>13959903.25</v>
      </c>
      <c r="F32" s="8">
        <f>A32*Данные!$B$13*12+D32</f>
        <v>18352479.25</v>
      </c>
    </row>
    <row r="33">
      <c r="A33" s="7" t="n">
        <v>5</v>
      </c>
      <c r="B33" s="7">
        <f>A33*Данные!$B$12</f>
        <v>1292440</v>
      </c>
      <c r="C33" s="7">
        <f>B33*12</f>
        <v>15509280</v>
      </c>
      <c r="D33" s="7">
        <f>'Штат УКПФ'!$I$18</f>
        <v>1552479.25</v>
      </c>
      <c r="E33" s="8">
        <f>C33+D33</f>
        <v>17061759.25</v>
      </c>
      <c r="F33" s="8">
        <f>A33*Данные!$B$13*12+D33</f>
        <v>22552479.25</v>
      </c>
    </row>
    <row r="34">
      <c r="A34" s="7" t="n">
        <v>6</v>
      </c>
      <c r="B34" s="7">
        <f>A34*Данные!$B$12</f>
        <v>1550928</v>
      </c>
      <c r="C34" s="7">
        <f>B34*12</f>
        <v>18611136</v>
      </c>
      <c r="D34" s="7">
        <f>'Штат УКПФ'!$I$18</f>
        <v>1552479.25</v>
      </c>
      <c r="E34" s="8">
        <f>C34+D34</f>
        <v>20163615.25</v>
      </c>
      <c r="F34" s="8">
        <f>A34*Данные!$B$13*12+D34</f>
        <v>26752479.25</v>
      </c>
    </row>
    <row r="35">
      <c r="A35" s="7" t="n">
        <v>7</v>
      </c>
      <c r="B35" s="7">
        <f>A35*Данные!$B$12</f>
        <v>1809416</v>
      </c>
      <c r="C35" s="7">
        <f>B35*12</f>
        <v>21712992</v>
      </c>
      <c r="D35" s="7">
        <f>'Штат УКПФ'!$I$18</f>
        <v>1552479.25</v>
      </c>
      <c r="E35" s="8">
        <f>C35+D35</f>
        <v>23265471.25</v>
      </c>
      <c r="F35" s="8">
        <f>A35*Данные!$B$13*12+D35</f>
        <v>30952479.25</v>
      </c>
    </row>
    <row r="36">
      <c r="A36" s="7" t="n">
        <v>8</v>
      </c>
      <c r="B36" s="7">
        <f>A36*Данные!$B$12</f>
        <v>2067904</v>
      </c>
      <c r="C36" s="7">
        <f>B36*12</f>
        <v>24814848</v>
      </c>
      <c r="D36" s="7">
        <f>'Штат УКПФ'!$I$18</f>
        <v>1552479.25</v>
      </c>
      <c r="E36" s="8">
        <f>C36+D36</f>
        <v>26367327.25</v>
      </c>
      <c r="F36" s="8">
        <f>A36*Данные!$B$13*12+D36</f>
        <v>35152479.25</v>
      </c>
    </row>
    <row r="37">
      <c r="A37" s="7" t="n">
        <v>9</v>
      </c>
      <c r="B37" s="7">
        <f>A37*Данные!$B$12</f>
        <v>2326392</v>
      </c>
      <c r="C37" s="7">
        <f>B37*12</f>
        <v>27916704</v>
      </c>
      <c r="D37" s="7">
        <f>'Штат УКПФ'!$I$18</f>
        <v>1552479.25</v>
      </c>
      <c r="E37" s="8">
        <f>C37+D37</f>
        <v>29469183.25</v>
      </c>
      <c r="F37" s="8">
        <f>A37*Данные!$B$13*12+D37</f>
        <v>39352479.25</v>
      </c>
    </row>
    <row r="38">
      <c r="A38" s="7" t="n">
        <v>10</v>
      </c>
      <c r="B38" s="7">
        <f>A38*Данные!$B$12</f>
        <v>2584880</v>
      </c>
      <c r="C38" s="7">
        <f>B38*12</f>
        <v>31018560</v>
      </c>
      <c r="D38" s="7">
        <f>'Штат УКПФ'!$I$18</f>
        <v>1552479.25</v>
      </c>
      <c r="E38" s="8">
        <f>C38+D38</f>
        <v>32571039.25</v>
      </c>
      <c r="F38" s="8">
        <f>A38*Данные!$B$13*12+D38</f>
        <v>43552479.25</v>
      </c>
    </row>
    <row r="39"/>
    <row r="40" ht="28" customHeight="1">
      <c r="A40" s="2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0" t="inlineStr">
        <is>
          <t>Показатель</t>
        </is>
      </c>
      <c r="B5" s="20" t="inlineStr">
        <is>
          <t>Значение</t>
        </is>
      </c>
      <c r="C5" s="20" t="inlineStr">
        <is>
          <t>Ед. изм.</t>
        </is>
      </c>
      <c r="D5" s="20" t="inlineStr"/>
      <c r="E5" s="20" t="inlineStr"/>
      <c r="F5" s="20" t="inlineStr"/>
      <c r="G5" s="20" t="inlineStr"/>
      <c r="H5" s="20" t="inlineStr">
        <is>
          <t>Источник / примечание</t>
        </is>
      </c>
    </row>
    <row r="6">
      <c r="A6" s="6" t="inlineStr">
        <is>
          <t>Зерноцид</t>
        </is>
      </c>
      <c r="B6" s="40" t="n">
        <v>740</v>
      </c>
      <c r="C6" s="6" t="inlineStr">
        <is>
          <t>₸/кг</t>
        </is>
      </c>
      <c r="H6" s="41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0" t="n">
        <v>3642.5</v>
      </c>
      <c r="C7" s="6" t="inlineStr">
        <is>
          <t>₸/кг</t>
        </is>
      </c>
      <c r="H7" s="41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0" t="n">
        <v>160</v>
      </c>
      <c r="C8" s="6" t="inlineStr">
        <is>
          <t>₸/шт</t>
        </is>
      </c>
      <c r="H8" s="41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0" t="n">
        <v>2160</v>
      </c>
      <c r="C9" s="6" t="inlineStr">
        <is>
          <t>₸/шт</t>
        </is>
      </c>
      <c r="H9" s="41" t="inlineStr">
        <is>
          <t>разовая закупка; цена из прежнего расчёта по ККЗ (29 шт = 62 640 ₸)</t>
        </is>
      </c>
    </row>
    <row r="10">
      <c r="A10" s="6" t="inlineStr">
        <is>
          <t>Бутылка</t>
        </is>
      </c>
      <c r="B10" s="40" t="n">
        <v>68</v>
      </c>
      <c r="C10" s="6" t="inlineStr">
        <is>
          <t>₸/шт</t>
        </is>
      </c>
      <c r="H10" s="41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0" t="n">
        <v>40</v>
      </c>
      <c r="C11" s="6" t="inlineStr">
        <is>
          <t>шт/мес</t>
        </is>
      </c>
      <c r="H11" s="41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0" t="n">
        <v>258488</v>
      </c>
      <c r="C12" s="6" t="inlineStr">
        <is>
          <t>₸/мес</t>
        </is>
      </c>
      <c r="H12" s="41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0" t="n">
        <v>350000</v>
      </c>
      <c r="C13" s="6" t="inlineStr">
        <is>
          <t>₸/мес</t>
        </is>
      </c>
      <c r="H13" s="41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0" t="n">
        <v>4</v>
      </c>
      <c r="C14" s="6" t="inlineStr">
        <is>
          <t>чел.</t>
        </is>
      </c>
      <c r="H14" s="41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0" t="n">
        <v>7</v>
      </c>
      <c r="C15" s="6" t="inlineStr">
        <is>
          <t>мес.</t>
        </is>
      </c>
      <c r="H15" s="41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0" t="n">
        <v>5</v>
      </c>
      <c r="C16" s="6" t="inlineStr">
        <is>
          <t>мес.</t>
        </is>
      </c>
      <c r="H16" s="41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3" t="inlineStr">
        <is>
          <t>Объект</t>
        </is>
      </c>
      <c r="B19" s="34" t="inlineStr">
        <is>
          <t>1-й контур, шт</t>
        </is>
      </c>
      <c r="C19" s="34" t="inlineStr">
        <is>
          <t>2-й контур, шт</t>
        </is>
      </c>
      <c r="D19" s="34" t="inlineStr">
        <is>
          <t>3-й контур, шт</t>
        </is>
      </c>
      <c r="E19" s="34" t="inlineStr">
        <is>
          <t>Всего точек, шт</t>
        </is>
      </c>
      <c r="F19" s="34" t="inlineStr">
        <is>
          <t>Pest Killer, кг</t>
        </is>
      </c>
      <c r="G19" s="34" t="inlineStr">
        <is>
          <t>Зерноцид, кг</t>
        </is>
      </c>
      <c r="H19" s="34" t="inlineStr">
        <is>
          <t>Примечание</t>
        </is>
      </c>
    </row>
    <row r="20">
      <c r="A20" s="6" t="inlineStr">
        <is>
          <t>ККЗ · кормоцех</t>
        </is>
      </c>
      <c r="B20" s="40" t="n">
        <v>0</v>
      </c>
      <c r="C20" s="40" t="n">
        <v>29</v>
      </c>
      <c r="D20" s="40" t="n">
        <v>0</v>
      </c>
      <c r="E20" s="7">
        <f>SUM(B20:D20)</f>
        <v>0</v>
      </c>
      <c r="F20" s="50" t="n">
        <v>1</v>
      </c>
      <c r="G20" s="50" t="n">
        <v>0</v>
      </c>
      <c r="H20" s="41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0" t="n">
        <v>18</v>
      </c>
      <c r="C21" s="40" t="n">
        <v>34</v>
      </c>
      <c r="D21" s="40" t="n">
        <v>12</v>
      </c>
      <c r="E21" s="7">
        <f>SUM(B21:D21)</f>
        <v>18</v>
      </c>
      <c r="F21" s="50" t="n">
        <v>1</v>
      </c>
      <c r="G21" s="50" t="n">
        <v>1</v>
      </c>
      <c r="H21" s="41" t="inlineStr"/>
    </row>
    <row r="22">
      <c r="A22" s="6" t="inlineStr">
        <is>
          <t>АБК · 11 корпусов</t>
        </is>
      </c>
      <c r="B22" s="40" t="n">
        <v>0</v>
      </c>
      <c r="C22" s="40" t="n">
        <v>39</v>
      </c>
      <c r="D22" s="40" t="n">
        <v>63</v>
      </c>
      <c r="E22" s="7">
        <f>SUM(B22:D22)</f>
        <v>0</v>
      </c>
      <c r="F22" s="50" t="n">
        <v>1.3</v>
      </c>
      <c r="G22" s="50" t="n">
        <v>0</v>
      </c>
      <c r="H22" s="41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0" t="n">
        <v>13</v>
      </c>
      <c r="C23" s="40" t="n">
        <v>147</v>
      </c>
      <c r="D23" s="40" t="n">
        <v>20</v>
      </c>
      <c r="E23" s="7">
        <f>SUM(B23:D23)</f>
        <v>13</v>
      </c>
      <c r="F23" s="50" t="n">
        <v>2</v>
      </c>
      <c r="G23" s="50" t="n">
        <v>2</v>
      </c>
      <c r="H23" s="41" t="inlineStr"/>
    </row>
    <row r="24">
      <c r="A24" s="6" t="inlineStr">
        <is>
          <t>Площадка Б</t>
        </is>
      </c>
      <c r="B24" s="40" t="n">
        <v>17</v>
      </c>
      <c r="C24" s="40" t="n">
        <v>146</v>
      </c>
      <c r="D24" s="40" t="n">
        <v>20</v>
      </c>
      <c r="E24" s="7">
        <f>SUM(B24:D24)</f>
        <v>17</v>
      </c>
      <c r="F24" s="50" t="n">
        <v>2</v>
      </c>
      <c r="G24" s="50" t="n">
        <v>2</v>
      </c>
      <c r="H24" s="41" t="inlineStr"/>
    </row>
    <row r="25">
      <c r="A25" s="6" t="inlineStr">
        <is>
          <t>В / Восточка</t>
        </is>
      </c>
      <c r="B25" s="40" t="n">
        <v>50</v>
      </c>
      <c r="C25" s="40" t="n">
        <v>239</v>
      </c>
      <c r="D25" s="40" t="n">
        <v>30</v>
      </c>
      <c r="E25" s="7">
        <f>SUM(B25:D25)</f>
        <v>50</v>
      </c>
      <c r="F25" s="50" t="n">
        <v>3.5</v>
      </c>
      <c r="G25" s="50" t="n">
        <v>3</v>
      </c>
      <c r="H25" s="41" t="inlineStr"/>
    </row>
    <row r="26">
      <c r="A26" s="6" t="inlineStr">
        <is>
          <t>Площадка Г</t>
        </is>
      </c>
      <c r="B26" s="40" t="n">
        <v>17</v>
      </c>
      <c r="C26" s="40" t="n">
        <v>88</v>
      </c>
      <c r="D26" s="40" t="n">
        <v>80</v>
      </c>
      <c r="E26" s="7">
        <f>SUM(B26:D26)</f>
        <v>17</v>
      </c>
      <c r="F26" s="50" t="n">
        <v>2</v>
      </c>
      <c r="G26" s="50" t="n">
        <v>1</v>
      </c>
      <c r="H26" s="41" t="inlineStr"/>
    </row>
    <row r="27">
      <c r="A27" s="6" t="inlineStr">
        <is>
          <t>Площадка Д</t>
        </is>
      </c>
      <c r="B27" s="40" t="n">
        <v>15</v>
      </c>
      <c r="C27" s="40" t="n">
        <v>69</v>
      </c>
      <c r="D27" s="40" t="n">
        <v>64</v>
      </c>
      <c r="E27" s="7">
        <f>SUM(B27:D27)</f>
        <v>15</v>
      </c>
      <c r="F27" s="50" t="n">
        <v>1.5</v>
      </c>
      <c r="G27" s="50" t="n">
        <v>1</v>
      </c>
      <c r="H27" s="41" t="inlineStr"/>
    </row>
    <row r="28">
      <c r="A28" s="6" t="inlineStr">
        <is>
          <t>Площадка Е</t>
        </is>
      </c>
      <c r="B28" s="40" t="n">
        <v>13</v>
      </c>
      <c r="C28" s="40" t="n">
        <v>147</v>
      </c>
      <c r="D28" s="40" t="n">
        <v>20</v>
      </c>
      <c r="E28" s="7">
        <f>SUM(B28:D28)</f>
        <v>13</v>
      </c>
      <c r="F28" s="50" t="n">
        <v>2</v>
      </c>
      <c r="G28" s="50" t="n">
        <v>2</v>
      </c>
      <c r="H28" s="41" t="inlineStr"/>
    </row>
    <row r="29">
      <c r="A29" s="6" t="inlineStr">
        <is>
          <t>Площадка Ж</t>
        </is>
      </c>
      <c r="B29" s="40" t="n">
        <v>17</v>
      </c>
      <c r="C29" s="40" t="n">
        <v>73</v>
      </c>
      <c r="D29" s="40" t="n">
        <v>10</v>
      </c>
      <c r="E29" s="7">
        <f>SUM(B29:D29)</f>
        <v>17</v>
      </c>
      <c r="F29" s="50" t="n">
        <v>1</v>
      </c>
      <c r="G29" s="50" t="n">
        <v>1</v>
      </c>
      <c r="H29" s="41" t="inlineStr"/>
    </row>
    <row r="30">
      <c r="A30" s="6" t="inlineStr">
        <is>
          <t>Айыртау (БП)</t>
        </is>
      </c>
      <c r="B30" s="40" t="n">
        <v>19</v>
      </c>
      <c r="C30" s="40" t="n">
        <v>187</v>
      </c>
      <c r="D30" s="40" t="n">
        <v>24</v>
      </c>
      <c r="E30" s="7">
        <f>SUM(B30:D30)</f>
        <v>19</v>
      </c>
      <c r="F30" s="50" t="n">
        <v>3</v>
      </c>
      <c r="G30" s="50" t="n">
        <v>3</v>
      </c>
      <c r="H30" s="41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48" t="n"/>
      <c r="G31" s="48" t="n"/>
      <c r="H31" s="41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48" t="n"/>
      <c r="G32" s="48" t="n"/>
      <c r="H32" s="41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49">
        <f>SUM(F20:F32)</f>
        <v>20.3</v>
      </c>
      <c r="G33" s="49">
        <f>SUM(G20:G32)</f>
        <v>16</v>
      </c>
      <c r="H33" s="37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0" t="inlineStr">
        <is>
          <t>Позиция</t>
        </is>
      </c>
      <c r="B36" s="20" t="inlineStr">
        <is>
          <t>Значение</t>
        </is>
      </c>
      <c r="C36" s="20" t="inlineStr">
        <is>
          <t>Ед. изм.</t>
        </is>
      </c>
      <c r="D36" s="20" t="inlineStr"/>
      <c r="E36" s="20" t="inlineStr"/>
      <c r="F36" s="20" t="inlineStr"/>
      <c r="G36" s="20" t="inlineStr"/>
      <c r="H36" s="20" t="inlineStr">
        <is>
          <t>Источник</t>
        </is>
      </c>
    </row>
    <row r="37">
      <c r="A37" s="6" t="inlineStr">
        <is>
          <t>Indigo · ККЗ, дератизация</t>
        </is>
      </c>
      <c r="B37" s="40" t="n">
        <v>96600</v>
      </c>
      <c r="C37" s="6" t="inlineStr">
        <is>
          <t>₸/мес</t>
        </is>
      </c>
      <c r="H37" s="41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0" t="n">
        <v>618400</v>
      </c>
      <c r="C38" s="6" t="inlineStr">
        <is>
          <t>₸/мес</t>
        </is>
      </c>
      <c r="H38" s="41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0" t="n">
        <v>478400</v>
      </c>
      <c r="C39" s="6" t="inlineStr">
        <is>
          <t>₸/мес</t>
        </is>
      </c>
      <c r="H39" s="41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0" t="n">
        <v>569800</v>
      </c>
      <c r="C40" s="6" t="inlineStr">
        <is>
          <t>₸/мес</t>
        </is>
      </c>
      <c r="H40" s="41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0" t="n">
        <v>440700</v>
      </c>
      <c r="C41" s="6" t="inlineStr">
        <is>
          <t>₸/мес</t>
        </is>
      </c>
      <c r="H41" s="41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0" t="n">
        <v>2599100</v>
      </c>
      <c r="C42" s="6" t="inlineStr">
        <is>
          <t>₸/мес</t>
        </is>
      </c>
      <c r="H42" s="41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0" t="n">
        <v>2010300</v>
      </c>
      <c r="C43" s="6" t="inlineStr">
        <is>
          <t>₸/мес</t>
        </is>
      </c>
      <c r="H43" s="41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0" t="n">
        <v>126200</v>
      </c>
      <c r="C44" s="6" t="inlineStr">
        <is>
          <t>₸/мес</t>
        </is>
      </c>
      <c r="H44" s="41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0" t="n">
        <v>106800</v>
      </c>
      <c r="C45" s="6" t="inlineStr">
        <is>
          <t>₸/мес</t>
        </is>
      </c>
      <c r="H45" s="41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0" t="n">
        <v>126200</v>
      </c>
      <c r="C46" s="6" t="inlineStr">
        <is>
          <t>₸/мес</t>
        </is>
      </c>
      <c r="H46" s="41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0" t="n">
        <v>106800</v>
      </c>
      <c r="C47" s="6" t="inlineStr">
        <is>
          <t>₸/мес</t>
        </is>
      </c>
      <c r="H47" s="41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0" t="n">
        <v>720000</v>
      </c>
      <c r="C48" s="6" t="inlineStr">
        <is>
          <t>₸/мес</t>
        </is>
      </c>
      <c r="H48" s="41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0" t="n">
        <v>1080000</v>
      </c>
      <c r="C49" s="6" t="inlineStr">
        <is>
          <t>₸/мес</t>
        </is>
      </c>
      <c r="H49" s="41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0" t="n">
        <v>3000000</v>
      </c>
      <c r="C50" s="6" t="inlineStr">
        <is>
          <t>₸/мес</t>
        </is>
      </c>
      <c r="H50" s="41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0" t="n">
        <v>100800</v>
      </c>
      <c r="C51" s="6" t="inlineStr">
        <is>
          <t>₸/мес</t>
        </is>
      </c>
      <c r="H51" s="41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0" t="n">
        <v>160800</v>
      </c>
      <c r="C52" s="6" t="inlineStr">
        <is>
          <t>₸/мес</t>
        </is>
      </c>
      <c r="H52" s="41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0" t="n">
        <v>75000</v>
      </c>
      <c r="C53" s="6" t="inlineStr">
        <is>
          <t>₸/мес</t>
        </is>
      </c>
      <c r="H53" s="41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0" t="n">
        <v>70000</v>
      </c>
      <c r="C54" s="6" t="inlineStr">
        <is>
          <t>₸/мес</t>
        </is>
      </c>
      <c r="H54" s="41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0" t="n">
        <v>3172000</v>
      </c>
      <c r="C55" s="6" t="inlineStr">
        <is>
          <t>₸/мес</t>
        </is>
      </c>
      <c r="H55" s="41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0" t="n">
        <v>2074000</v>
      </c>
      <c r="C56" s="6" t="inlineStr">
        <is>
          <t>₸/мес</t>
        </is>
      </c>
      <c r="H56" s="41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0" t="n">
        <v>2806000</v>
      </c>
      <c r="C57" s="6" t="inlineStr">
        <is>
          <t>₸/мес</t>
        </is>
      </c>
      <c r="H57" s="41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0" t="n">
        <v>1830000</v>
      </c>
      <c r="C58" s="6" t="inlineStr">
        <is>
          <t>₸/мес</t>
        </is>
      </c>
      <c r="H58" s="41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0" t="n">
        <v>180000</v>
      </c>
      <c r="C59" s="6" t="inlineStr">
        <is>
          <t>₸/мес</t>
        </is>
      </c>
      <c r="H59" s="41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0" t="n">
        <v>80000</v>
      </c>
      <c r="C60" s="6" t="inlineStr">
        <is>
          <t>₸/мес</t>
        </is>
      </c>
      <c r="H60" s="41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0" t="n">
        <v>9</v>
      </c>
      <c r="C61" s="6" t="inlineStr">
        <is>
          <t>мес.</t>
        </is>
      </c>
      <c r="H61" s="41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0" t="n">
        <v>3</v>
      </c>
      <c r="C62" s="6" t="inlineStr">
        <is>
          <t>мес.</t>
        </is>
      </c>
      <c r="H62" s="41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0" t="n">
        <v>9</v>
      </c>
      <c r="C63" s="6" t="inlineStr">
        <is>
          <t>мес.</t>
        </is>
      </c>
      <c r="H63" s="41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43" t="n">
        <v>0.15</v>
      </c>
      <c r="C64" s="6" t="inlineStr">
        <is>
          <t>доля</t>
        </is>
      </c>
      <c r="H64" s="41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43" t="n">
        <v>0.15</v>
      </c>
      <c r="C65" s="6" t="inlineStr">
        <is>
          <t>доля</t>
        </is>
      </c>
      <c r="H65" s="41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43" t="n">
        <v>0.16</v>
      </c>
      <c r="C66" s="6" t="inlineStr">
        <is>
          <t>доля</t>
        </is>
      </c>
      <c r="H66" s="41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2026-08-25T03:30:36Z</dcterms:created>
  <dcterms:modified xsi:type="dcterms:W3CDTF">2026-08-25T03:30:36Z</dcterms:modified>
</cp:coreProperties>
</file>